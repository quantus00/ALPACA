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des" sheetId="1" state="visible" r:id="rId3"/>
    <sheet name="Fees" sheetId="2" state="visible" r:id="rId4"/>
  </sheets>
  <definedNames>
    <definedName function="false" hidden="true" localSheetId="0" name="_xlnm._FilterDatabase" vbProcedure="false">Trades!$A$2:$R$140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<sst xmlns="http://schemas.openxmlformats.org/spreadsheetml/2006/main" count="198" uniqueCount="59">
  <si>
    <t xml:space="preserve">1h chart + daily filter: BTC futures short trades. Times are when the hourly bar closed (stop exits happened during that hour). Prices = BTC spot as proxy for futures. Fees/sizes come from the Fees tab.</t>
  </si>
  <si>
    <t xml:space="preserve">#</t>
  </si>
  <si>
    <t xml:space="preserve">Entry (ET)</t>
  </si>
  <si>
    <t xml:space="preserve">Exit (ET)</t>
  </si>
  <si>
    <t xml:space="preserve">Hours held</t>
  </si>
  <si>
    <t xml:space="preserve">Entry price ($)</t>
  </si>
  <si>
    <t xml:space="preserve">Exit price ($)</t>
  </si>
  <si>
    <t xml:space="preserve">Exit reason</t>
  </si>
  <si>
    <t xml:space="preserve">Price move per BTC ($)</t>
  </si>
  <si>
    <t xml:space="preserve">Perp fee RT per contract ($)</t>
  </si>
  <si>
    <t xml:space="preserve">Dated fee RT per contract ($)</t>
  </si>
  <si>
    <t xml:space="preserve">Micro fee RT per contract ($)</t>
  </si>
  <si>
    <t xml:space="preserve">Perp fees for exposure ($)</t>
  </si>
  <si>
    <t xml:space="preserve">Dated fees for exposure ($)</t>
  </si>
  <si>
    <t xml:space="preserve">Micro fees for exposure ($)</t>
  </si>
  <si>
    <t xml:space="preserve">Slippage for exposure ($)</t>
  </si>
  <si>
    <t xml:space="preserve">Net P&amp;L on perp ($)</t>
  </si>
  <si>
    <t xml:space="preserve">Net P&amp;L on dated ($)</t>
  </si>
  <si>
    <t xml:space="preserve">Net P&amp;L on micro ($)</t>
  </si>
  <si>
    <t xml:space="preserve">early_warning</t>
  </si>
  <si>
    <t xml:space="preserve">trend_flip_up</t>
  </si>
  <si>
    <t xml:space="preserve">stop</t>
  </si>
  <si>
    <t xml:space="preserve">Total</t>
  </si>
  <si>
    <t xml:space="preserve">Wins (perp)</t>
  </si>
  <si>
    <t xml:space="preserve">Trades</t>
  </si>
  <si>
    <t xml:space="preserve">Fee inputs (blue = edit me)</t>
  </si>
  <si>
    <t xml:space="preserve">Product</t>
  </si>
  <si>
    <t xml:space="preserve">Value</t>
  </si>
  <si>
    <t xml:space="preserve">Note</t>
  </si>
  <si>
    <t xml:space="preserve">BTC exposure per trade</t>
  </si>
  <si>
    <t xml:space="preserve">Size of each short, in BTC</t>
  </si>
  <si>
    <t xml:space="preserve">Nano perp: contract size (BTC)</t>
  </si>
  <si>
    <t xml:space="preserve">Coinbase nano BTC-PERP</t>
  </si>
  <si>
    <t xml:space="preserve">Nano perp: fee % of notional per side</t>
  </si>
  <si>
    <t xml:space="preserve">"As low as 0.02% per contract", all-in (Coinbase blog)</t>
  </si>
  <si>
    <t xml:space="preserve">Nano perp: minimum fee per contract per side ($)</t>
  </si>
  <si>
    <t xml:space="preserve">Coinbase blog: $0.15 minimum</t>
  </si>
  <si>
    <t xml:space="preserve">Nano dated: contract size (BTC)</t>
  </si>
  <si>
    <t xml:space="preserve">Coinbase nano Bitcoin futures (BIT)</t>
  </si>
  <si>
    <t xml:space="preserve">Nano dated: fee per contract per side ($)</t>
  </si>
  <si>
    <t xml:space="preserve">ESTIMATE: $0.10 exchange fee (Coinbase Derivatives fee schedule) + brokerage; check your order ticket</t>
  </si>
  <si>
    <t xml:space="preserve">CME micro: contract size (BTC)</t>
  </si>
  <si>
    <t xml:space="preserve">CME Micro Bitcoin (MBT)</t>
  </si>
  <si>
    <t xml:space="preserve">CME micro: fee per contract per side ($)</t>
  </si>
  <si>
    <t xml:space="preserve">PLACEHOLDER: set your broker's all-in MBT fee</t>
  </si>
  <si>
    <t xml:space="preserve">Slippage per BTC per side ($)</t>
  </si>
  <si>
    <t xml:space="preserve">Spread/slippage assumption</t>
  </si>
  <si>
    <t xml:space="preserve">Round trip per contract (in + out)</t>
  </si>
  <si>
    <t xml:space="preserve">$</t>
  </si>
  <si>
    <t xml:space="preserve">At what price</t>
  </si>
  <si>
    <t xml:space="preserve">Nano perp</t>
  </si>
  <si>
    <t xml:space="preserve">At BTC price in B17 (fee is % based)</t>
  </si>
  <si>
    <t xml:space="preserve">Nano dated</t>
  </si>
  <si>
    <t xml:space="preserve">Flat</t>
  </si>
  <si>
    <t xml:space="preserve">CME micro</t>
  </si>
  <si>
    <t xml:space="preserve">BTC price for perp example</t>
  </si>
  <si>
    <t xml:space="preserve">Edit to see perp fee at another price</t>
  </si>
  <si>
    <t xml:space="preserve">Contracts needed for the BTC exposure in B3</t>
  </si>
  <si>
    <t xml:space="preserve">Sources: Coinbase Derivatives fee schedule (assets.ctfassets.net/.../Coinbase_Derivatives_Fee_Schedule_3.31.25.pdf); Coinbase blog "Perpetual futures have arrived in the U.S." (coinbase.com/blog/perpetual-futures-have-arrived-in-the-us)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</si>
</sst>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\-mm\-dd\ h:mm\ AM/PM"/>
    <numFmt numFmtId="166" formatCode="\$#,##0;&quot;($&quot;#,##0\);\-"/>
    <numFmt numFmtId="167" formatCode="\$#,##0.00"/>
    <numFmt numFmtId="168" formatCode="0"/>
    <numFmt numFmtId="169" formatCode="0.00%"/>
    <numFmt numFmtId="170" formatCode="\$#,##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19"/>
    <col collapsed="false" customWidth="true" hidden="false" outlineLevel="0" max="4" min="4" style="0" width="8"/>
    <col collapsed="false" customWidth="true" hidden="false" outlineLevel="0" max="6" min="5" style="0" width="12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11" min="9" style="0" width="11"/>
    <col collapsed="false" customWidth="true" hidden="false" outlineLevel="0" max="15" min="12" style="0" width="12"/>
    <col collapsed="false" customWidth="true" hidden="false" outlineLevel="0" max="18" min="16" style="0" width="13"/>
  </cols>
  <sheetData>
    <row r="1" customFormat="false" ht="15" hidden="false" customHeight="false" outlineLevel="0" collapsed="false">
      <c r="A1" s="1" t="s">
        <v>0</v>
      </c>
    </row>
    <row r="2" customFormat="false" ht="4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</row>
    <row r="3" customFormat="false" ht="15" hidden="false" customHeight="false" outlineLevel="0" collapsed="false">
      <c r="A3" s="3" t="n">
        <v>1</v>
      </c>
      <c r="B3" s="4" t="n">
        <v>42749.75</v>
      </c>
      <c r="C3" s="4" t="n">
        <v>42750.375</v>
      </c>
      <c r="D3" s="3" t="n">
        <v>15</v>
      </c>
      <c r="E3" s="5" t="n">
        <v>815.5</v>
      </c>
      <c r="F3" s="5" t="n">
        <v>820.78</v>
      </c>
      <c r="G3" s="3" t="s">
        <v>19</v>
      </c>
      <c r="H3" s="5" t="n">
        <f aca="false">E3-F3</f>
        <v>-5.27999999999997</v>
      </c>
      <c r="I3" s="6" t="n">
        <f aca="false">MAX(Fees!$B$6,Fees!$B$5*Fees!$B$4*E3)+MAX(Fees!$B$6,Fees!$B$5*Fees!$B$4*F3)</f>
        <v>0.3</v>
      </c>
      <c r="J3" s="6" t="n">
        <f aca="false">2*Fees!$B$8</f>
        <v>0.3</v>
      </c>
      <c r="K3" s="6" t="n">
        <f aca="false">2*Fees!$B$10</f>
        <v>5</v>
      </c>
      <c r="L3" s="5" t="n">
        <f aca="false">I3*Fees!$B$3/Fees!$B$4</f>
        <v>30</v>
      </c>
      <c r="M3" s="5" t="n">
        <f aca="false">J3*Fees!$B$3/Fees!$B$7</f>
        <v>30</v>
      </c>
      <c r="N3" s="5" t="n">
        <f aca="false">K3*Fees!$B$3/Fees!$B$9</f>
        <v>50</v>
      </c>
      <c r="O3" s="5" t="n">
        <f aca="false">2*Fees!$B$11*Fees!$B$3</f>
        <v>20</v>
      </c>
      <c r="P3" s="5" t="n">
        <f aca="false">H3*Fees!$B$3-L3-O3</f>
        <v>-55.28</v>
      </c>
      <c r="Q3" s="5" t="n">
        <f aca="false">H3*Fees!$B$3-M3-O3</f>
        <v>-55.28</v>
      </c>
      <c r="R3" s="5" t="n">
        <f aca="false">H3*Fees!$B$3-N3-O3</f>
        <v>-75.28</v>
      </c>
    </row>
    <row r="4" customFormat="false" ht="15" hidden="false" customHeight="false" outlineLevel="0" collapsed="false">
      <c r="A4" s="3" t="n">
        <v>2</v>
      </c>
      <c r="B4" s="4" t="n">
        <v>42753.5</v>
      </c>
      <c r="C4" s="4" t="n">
        <v>42753.8333333333</v>
      </c>
      <c r="D4" s="3" t="n">
        <v>8</v>
      </c>
      <c r="E4" s="5" t="n">
        <v>872.51</v>
      </c>
      <c r="F4" s="5" t="n">
        <v>890</v>
      </c>
      <c r="G4" s="3" t="s">
        <v>19</v>
      </c>
      <c r="H4" s="5" t="n">
        <f aca="false">E4-F4</f>
        <v>-17.49</v>
      </c>
      <c r="I4" s="6" t="n">
        <f aca="false">MAX(Fees!$B$6,Fees!$B$5*Fees!$B$4*E4)+MAX(Fees!$B$6,Fees!$B$5*Fees!$B$4*F4)</f>
        <v>0.3</v>
      </c>
      <c r="J4" s="6" t="n">
        <f aca="false">2*Fees!$B$8</f>
        <v>0.3</v>
      </c>
      <c r="K4" s="6" t="n">
        <f aca="false">2*Fees!$B$10</f>
        <v>5</v>
      </c>
      <c r="L4" s="5" t="n">
        <f aca="false">I4*Fees!$B$3/Fees!$B$4</f>
        <v>30</v>
      </c>
      <c r="M4" s="5" t="n">
        <f aca="false">J4*Fees!$B$3/Fees!$B$7</f>
        <v>30</v>
      </c>
      <c r="N4" s="5" t="n">
        <f aca="false">K4*Fees!$B$3/Fees!$B$9</f>
        <v>50</v>
      </c>
      <c r="O4" s="5" t="n">
        <f aca="false">2*Fees!$B$11*Fees!$B$3</f>
        <v>20</v>
      </c>
      <c r="P4" s="5" t="n">
        <f aca="false">H4*Fees!$B$3-L4-O4</f>
        <v>-67.49</v>
      </c>
      <c r="Q4" s="5" t="n">
        <f aca="false">H4*Fees!$B$3-M4-O4</f>
        <v>-67.49</v>
      </c>
      <c r="R4" s="5" t="n">
        <f aca="false">H4*Fees!$B$3-N4-O4</f>
        <v>-87.49</v>
      </c>
    </row>
    <row r="5" customFormat="false" ht="15" hidden="false" customHeight="false" outlineLevel="0" collapsed="false">
      <c r="A5" s="3" t="n">
        <v>3</v>
      </c>
      <c r="B5" s="4" t="n">
        <v>42763.25</v>
      </c>
      <c r="C5" s="4" t="n">
        <v>42763.8333333333</v>
      </c>
      <c r="D5" s="3" t="n">
        <v>14</v>
      </c>
      <c r="E5" s="5" t="n">
        <v>915</v>
      </c>
      <c r="F5" s="5" t="n">
        <v>918.99</v>
      </c>
      <c r="G5" s="3" t="s">
        <v>19</v>
      </c>
      <c r="H5" s="5" t="n">
        <f aca="false">E5-F5</f>
        <v>-3.99000000000001</v>
      </c>
      <c r="I5" s="6" t="n">
        <f aca="false">MAX(Fees!$B$6,Fees!$B$5*Fees!$B$4*E5)+MAX(Fees!$B$6,Fees!$B$5*Fees!$B$4*F5)</f>
        <v>0.3</v>
      </c>
      <c r="J5" s="6" t="n">
        <f aca="false">2*Fees!$B$8</f>
        <v>0.3</v>
      </c>
      <c r="K5" s="6" t="n">
        <f aca="false">2*Fees!$B$10</f>
        <v>5</v>
      </c>
      <c r="L5" s="5" t="n">
        <f aca="false">I5*Fees!$B$3/Fees!$B$4</f>
        <v>30</v>
      </c>
      <c r="M5" s="5" t="n">
        <f aca="false">J5*Fees!$B$3/Fees!$B$7</f>
        <v>30</v>
      </c>
      <c r="N5" s="5" t="n">
        <f aca="false">K5*Fees!$B$3/Fees!$B$9</f>
        <v>50</v>
      </c>
      <c r="O5" s="5" t="n">
        <f aca="false">2*Fees!$B$11*Fees!$B$3</f>
        <v>20</v>
      </c>
      <c r="P5" s="5" t="n">
        <f aca="false">H5*Fees!$B$3-L5-O5</f>
        <v>-53.99</v>
      </c>
      <c r="Q5" s="5" t="n">
        <f aca="false">H5*Fees!$B$3-M5-O5</f>
        <v>-53.99</v>
      </c>
      <c r="R5" s="5" t="n">
        <f aca="false">H5*Fees!$B$3-N5-O5</f>
        <v>-73.99</v>
      </c>
    </row>
    <row r="6" customFormat="false" ht="15" hidden="false" customHeight="false" outlineLevel="0" collapsed="false">
      <c r="A6" s="3" t="n">
        <v>4</v>
      </c>
      <c r="B6" s="4" t="n">
        <v>42823.125</v>
      </c>
      <c r="C6" s="4" t="n">
        <v>42823.2916666667</v>
      </c>
      <c r="D6" s="3" t="n">
        <v>4</v>
      </c>
      <c r="E6" s="5" t="n">
        <v>1014.17</v>
      </c>
      <c r="F6" s="5" t="n">
        <v>1037.14</v>
      </c>
      <c r="G6" s="3" t="s">
        <v>19</v>
      </c>
      <c r="H6" s="5" t="n">
        <f aca="false">E6-F6</f>
        <v>-22.9700000000001</v>
      </c>
      <c r="I6" s="6" t="n">
        <f aca="false">MAX(Fees!$B$6,Fees!$B$5*Fees!$B$4*E6)+MAX(Fees!$B$6,Fees!$B$5*Fees!$B$4*F6)</f>
        <v>0.3</v>
      </c>
      <c r="J6" s="6" t="n">
        <f aca="false">2*Fees!$B$8</f>
        <v>0.3</v>
      </c>
      <c r="K6" s="6" t="n">
        <f aca="false">2*Fees!$B$10</f>
        <v>5</v>
      </c>
      <c r="L6" s="5" t="n">
        <f aca="false">I6*Fees!$B$3/Fees!$B$4</f>
        <v>30</v>
      </c>
      <c r="M6" s="5" t="n">
        <f aca="false">J6*Fees!$B$3/Fees!$B$7</f>
        <v>30</v>
      </c>
      <c r="N6" s="5" t="n">
        <f aca="false">K6*Fees!$B$3/Fees!$B$9</f>
        <v>50</v>
      </c>
      <c r="O6" s="5" t="n">
        <f aca="false">2*Fees!$B$11*Fees!$B$3</f>
        <v>20</v>
      </c>
      <c r="P6" s="5" t="n">
        <f aca="false">H6*Fees!$B$3-L6-O6</f>
        <v>-72.9700000000001</v>
      </c>
      <c r="Q6" s="5" t="n">
        <f aca="false">H6*Fees!$B$3-M6-O6</f>
        <v>-72.9700000000001</v>
      </c>
      <c r="R6" s="5" t="n">
        <f aca="false">H6*Fees!$B$3-N6-O6</f>
        <v>-92.9700000000001</v>
      </c>
    </row>
    <row r="7" customFormat="false" ht="15" hidden="false" customHeight="false" outlineLevel="0" collapsed="false">
      <c r="A7" s="3" t="n">
        <v>5</v>
      </c>
      <c r="B7" s="4" t="n">
        <v>42929.5833333333</v>
      </c>
      <c r="C7" s="4" t="n">
        <v>42932.9583333333</v>
      </c>
      <c r="D7" s="3" t="n">
        <v>81</v>
      </c>
      <c r="E7" s="5" t="n">
        <v>2325.43</v>
      </c>
      <c r="F7" s="5" t="n">
        <v>1961.76</v>
      </c>
      <c r="G7" s="3" t="s">
        <v>20</v>
      </c>
      <c r="H7" s="5" t="n">
        <f aca="false">E7-F7</f>
        <v>363.67</v>
      </c>
      <c r="I7" s="6" t="n">
        <f aca="false">MAX(Fees!$B$6,Fees!$B$5*Fees!$B$4*E7)+MAX(Fees!$B$6,Fees!$B$5*Fees!$B$4*F7)</f>
        <v>0.3</v>
      </c>
      <c r="J7" s="6" t="n">
        <f aca="false">2*Fees!$B$8</f>
        <v>0.3</v>
      </c>
      <c r="K7" s="6" t="n">
        <f aca="false">2*Fees!$B$10</f>
        <v>5</v>
      </c>
      <c r="L7" s="5" t="n">
        <f aca="false">I7*Fees!$B$3/Fees!$B$4</f>
        <v>30</v>
      </c>
      <c r="M7" s="5" t="n">
        <f aca="false">J7*Fees!$B$3/Fees!$B$7</f>
        <v>30</v>
      </c>
      <c r="N7" s="5" t="n">
        <f aca="false">K7*Fees!$B$3/Fees!$B$9</f>
        <v>50</v>
      </c>
      <c r="O7" s="5" t="n">
        <f aca="false">2*Fees!$B$11*Fees!$B$3</f>
        <v>20</v>
      </c>
      <c r="P7" s="5" t="n">
        <f aca="false">H7*Fees!$B$3-L7-O7</f>
        <v>313.67</v>
      </c>
      <c r="Q7" s="5" t="n">
        <f aca="false">H7*Fees!$B$3-M7-O7</f>
        <v>313.67</v>
      </c>
      <c r="R7" s="5" t="n">
        <f aca="false">H7*Fees!$B$3-N7-O7</f>
        <v>293.67</v>
      </c>
    </row>
    <row r="8" customFormat="false" ht="15" hidden="false" customHeight="false" outlineLevel="0" collapsed="false">
      <c r="A8" s="3" t="n">
        <v>6</v>
      </c>
      <c r="B8" s="4" t="n">
        <v>42992.3333333333</v>
      </c>
      <c r="C8" s="4" t="n">
        <v>42994.0833333333</v>
      </c>
      <c r="D8" s="3" t="n">
        <v>42</v>
      </c>
      <c r="E8" s="5" t="n">
        <v>3604.96</v>
      </c>
      <c r="F8" s="5" t="n">
        <v>3821.26</v>
      </c>
      <c r="G8" s="3" t="s">
        <v>21</v>
      </c>
      <c r="H8" s="5" t="n">
        <f aca="false">E8-F8</f>
        <v>-216.3</v>
      </c>
      <c r="I8" s="6" t="n">
        <f aca="false">MAX(Fees!$B$6,Fees!$B$5*Fees!$B$4*E8)+MAX(Fees!$B$6,Fees!$B$5*Fees!$B$4*F8)</f>
        <v>0.3</v>
      </c>
      <c r="J8" s="6" t="n">
        <f aca="false">2*Fees!$B$8</f>
        <v>0.3</v>
      </c>
      <c r="K8" s="6" t="n">
        <f aca="false">2*Fees!$B$10</f>
        <v>5</v>
      </c>
      <c r="L8" s="5" t="n">
        <f aca="false">I8*Fees!$B$3/Fees!$B$4</f>
        <v>30</v>
      </c>
      <c r="M8" s="5" t="n">
        <f aca="false">J8*Fees!$B$3/Fees!$B$7</f>
        <v>30</v>
      </c>
      <c r="N8" s="5" t="n">
        <f aca="false">K8*Fees!$B$3/Fees!$B$9</f>
        <v>50</v>
      </c>
      <c r="O8" s="5" t="n">
        <f aca="false">2*Fees!$B$11*Fees!$B$3</f>
        <v>20</v>
      </c>
      <c r="P8" s="5" t="n">
        <f aca="false">H8*Fees!$B$3-L8-O8</f>
        <v>-266.3</v>
      </c>
      <c r="Q8" s="5" t="n">
        <f aca="false">H8*Fees!$B$3-M8-O8</f>
        <v>-266.3</v>
      </c>
      <c r="R8" s="5" t="n">
        <f aca="false">H8*Fees!$B$3-N8-O8</f>
        <v>-286.3</v>
      </c>
    </row>
    <row r="9" customFormat="false" ht="15" hidden="false" customHeight="false" outlineLevel="0" collapsed="false">
      <c r="A9" s="3" t="n">
        <v>7</v>
      </c>
      <c r="B9" s="4" t="n">
        <v>43121.5416666667</v>
      </c>
      <c r="C9" s="4" t="n">
        <v>43121.8333333333</v>
      </c>
      <c r="D9" s="3" t="n">
        <v>7</v>
      </c>
      <c r="E9" s="5" t="n">
        <v>11479.11</v>
      </c>
      <c r="F9" s="5" t="n">
        <v>11708.91</v>
      </c>
      <c r="G9" s="3" t="s">
        <v>19</v>
      </c>
      <c r="H9" s="5" t="n">
        <f aca="false">E9-F9</f>
        <v>-229.799999999999</v>
      </c>
      <c r="I9" s="6" t="n">
        <f aca="false">MAX(Fees!$B$6,Fees!$B$5*Fees!$B$4*E9)+MAX(Fees!$B$6,Fees!$B$5*Fees!$B$4*F9)</f>
        <v>0.3</v>
      </c>
      <c r="J9" s="6" t="n">
        <f aca="false">2*Fees!$B$8</f>
        <v>0.3</v>
      </c>
      <c r="K9" s="6" t="n">
        <f aca="false">2*Fees!$B$10</f>
        <v>5</v>
      </c>
      <c r="L9" s="5" t="n">
        <f aca="false">I9*Fees!$B$3/Fees!$B$4</f>
        <v>30</v>
      </c>
      <c r="M9" s="5" t="n">
        <f aca="false">J9*Fees!$B$3/Fees!$B$7</f>
        <v>30</v>
      </c>
      <c r="N9" s="5" t="n">
        <f aca="false">K9*Fees!$B$3/Fees!$B$9</f>
        <v>50</v>
      </c>
      <c r="O9" s="5" t="n">
        <f aca="false">2*Fees!$B$11*Fees!$B$3</f>
        <v>20</v>
      </c>
      <c r="P9" s="5" t="n">
        <f aca="false">H9*Fees!$B$3-L9-O9</f>
        <v>-279.799999999999</v>
      </c>
      <c r="Q9" s="5" t="n">
        <f aca="false">H9*Fees!$B$3-M9-O9</f>
        <v>-279.799999999999</v>
      </c>
      <c r="R9" s="5" t="n">
        <f aca="false">H9*Fees!$B$3-N9-O9</f>
        <v>-299.799999999999</v>
      </c>
    </row>
    <row r="10" customFormat="false" ht="15" hidden="false" customHeight="false" outlineLevel="0" collapsed="false">
      <c r="A10" s="3" t="n">
        <v>8</v>
      </c>
      <c r="B10" s="4" t="n">
        <v>43126.1666666667</v>
      </c>
      <c r="C10" s="4" t="n">
        <v>43126.5</v>
      </c>
      <c r="D10" s="3" t="n">
        <v>8</v>
      </c>
      <c r="E10" s="5" t="n">
        <v>10745.24</v>
      </c>
      <c r="F10" s="5" t="n">
        <v>11100</v>
      </c>
      <c r="G10" s="3" t="s">
        <v>19</v>
      </c>
      <c r="H10" s="5" t="n">
        <f aca="false">E10-F10</f>
        <v>-354.76</v>
      </c>
      <c r="I10" s="6" t="n">
        <f aca="false">MAX(Fees!$B$6,Fees!$B$5*Fees!$B$4*E10)+MAX(Fees!$B$6,Fees!$B$5*Fees!$B$4*F10)</f>
        <v>0.3</v>
      </c>
      <c r="J10" s="6" t="n">
        <f aca="false">2*Fees!$B$8</f>
        <v>0.3</v>
      </c>
      <c r="K10" s="6" t="n">
        <f aca="false">2*Fees!$B$10</f>
        <v>5</v>
      </c>
      <c r="L10" s="5" t="n">
        <f aca="false">I10*Fees!$B$3/Fees!$B$4</f>
        <v>30</v>
      </c>
      <c r="M10" s="5" t="n">
        <f aca="false">J10*Fees!$B$3/Fees!$B$7</f>
        <v>30</v>
      </c>
      <c r="N10" s="5" t="n">
        <f aca="false">K10*Fees!$B$3/Fees!$B$9</f>
        <v>50</v>
      </c>
      <c r="O10" s="5" t="n">
        <f aca="false">2*Fees!$B$11*Fees!$B$3</f>
        <v>20</v>
      </c>
      <c r="P10" s="5" t="n">
        <f aca="false">H10*Fees!$B$3-L10-O10</f>
        <v>-404.76</v>
      </c>
      <c r="Q10" s="5" t="n">
        <f aca="false">H10*Fees!$B$3-M10-O10</f>
        <v>-404.76</v>
      </c>
      <c r="R10" s="5" t="n">
        <f aca="false">H10*Fees!$B$3-N10-O10</f>
        <v>-424.76</v>
      </c>
    </row>
    <row r="11" customFormat="false" ht="15" hidden="false" customHeight="false" outlineLevel="0" collapsed="false">
      <c r="A11" s="3" t="n">
        <v>9</v>
      </c>
      <c r="B11" s="4" t="n">
        <v>43129.0416666667</v>
      </c>
      <c r="C11" s="4" t="n">
        <v>43134.2916666667</v>
      </c>
      <c r="D11" s="3" t="n">
        <v>126</v>
      </c>
      <c r="E11" s="5" t="n">
        <v>11466.56</v>
      </c>
      <c r="F11" s="5" t="n">
        <v>9028</v>
      </c>
      <c r="G11" s="3" t="s">
        <v>20</v>
      </c>
      <c r="H11" s="5" t="n">
        <f aca="false">E11-F11</f>
        <v>2438.56</v>
      </c>
      <c r="I11" s="6" t="n">
        <f aca="false">MAX(Fees!$B$6,Fees!$B$5*Fees!$B$4*E11)+MAX(Fees!$B$6,Fees!$B$5*Fees!$B$4*F11)</f>
        <v>0.3</v>
      </c>
      <c r="J11" s="6" t="n">
        <f aca="false">2*Fees!$B$8</f>
        <v>0.3</v>
      </c>
      <c r="K11" s="6" t="n">
        <f aca="false">2*Fees!$B$10</f>
        <v>5</v>
      </c>
      <c r="L11" s="5" t="n">
        <f aca="false">I11*Fees!$B$3/Fees!$B$4</f>
        <v>30</v>
      </c>
      <c r="M11" s="5" t="n">
        <f aca="false">J11*Fees!$B$3/Fees!$B$7</f>
        <v>30</v>
      </c>
      <c r="N11" s="5" t="n">
        <f aca="false">K11*Fees!$B$3/Fees!$B$9</f>
        <v>50</v>
      </c>
      <c r="O11" s="5" t="n">
        <f aca="false">2*Fees!$B$11*Fees!$B$3</f>
        <v>20</v>
      </c>
      <c r="P11" s="5" t="n">
        <f aca="false">H11*Fees!$B$3-L11-O11</f>
        <v>2388.56</v>
      </c>
      <c r="Q11" s="5" t="n">
        <f aca="false">H11*Fees!$B$3-M11-O11</f>
        <v>2388.56</v>
      </c>
      <c r="R11" s="5" t="n">
        <f aca="false">H11*Fees!$B$3-N11-O11</f>
        <v>2368.56</v>
      </c>
    </row>
    <row r="12" customFormat="false" ht="15" hidden="false" customHeight="false" outlineLevel="0" collapsed="false">
      <c r="A12" s="3" t="n">
        <v>10</v>
      </c>
      <c r="B12" s="4" t="n">
        <v>43152.7916666667</v>
      </c>
      <c r="C12" s="4" t="n">
        <v>43154.9166666667</v>
      </c>
      <c r="D12" s="3" t="n">
        <v>51</v>
      </c>
      <c r="E12" s="5" t="n">
        <v>10449.4</v>
      </c>
      <c r="F12" s="5" t="n">
        <v>10432.89</v>
      </c>
      <c r="G12" s="3" t="s">
        <v>20</v>
      </c>
      <c r="H12" s="5" t="n">
        <f aca="false">E12-F12</f>
        <v>16.5100000000002</v>
      </c>
      <c r="I12" s="6" t="n">
        <f aca="false">MAX(Fees!$B$6,Fees!$B$5*Fees!$B$4*E12)+MAX(Fees!$B$6,Fees!$B$5*Fees!$B$4*F12)</f>
        <v>0.3</v>
      </c>
      <c r="J12" s="6" t="n">
        <f aca="false">2*Fees!$B$8</f>
        <v>0.3</v>
      </c>
      <c r="K12" s="6" t="n">
        <f aca="false">2*Fees!$B$10</f>
        <v>5</v>
      </c>
      <c r="L12" s="5" t="n">
        <f aca="false">I12*Fees!$B$3/Fees!$B$4</f>
        <v>30</v>
      </c>
      <c r="M12" s="5" t="n">
        <f aca="false">J12*Fees!$B$3/Fees!$B$7</f>
        <v>30</v>
      </c>
      <c r="N12" s="5" t="n">
        <f aca="false">K12*Fees!$B$3/Fees!$B$9</f>
        <v>50</v>
      </c>
      <c r="O12" s="5" t="n">
        <f aca="false">2*Fees!$B$11*Fees!$B$3</f>
        <v>20</v>
      </c>
      <c r="P12" s="5" t="n">
        <f aca="false">H12*Fees!$B$3-L12-O12</f>
        <v>-33.4899999999998</v>
      </c>
      <c r="Q12" s="5" t="n">
        <f aca="false">H12*Fees!$B$3-M12-O12</f>
        <v>-33.4899999999998</v>
      </c>
      <c r="R12" s="5" t="n">
        <f aca="false">H12*Fees!$B$3-N12-O12</f>
        <v>-53.4899999999998</v>
      </c>
    </row>
    <row r="13" customFormat="false" ht="15" hidden="false" customHeight="false" outlineLevel="0" collapsed="false">
      <c r="A13" s="3" t="n">
        <v>11</v>
      </c>
      <c r="B13" s="4" t="n">
        <v>43159.9166666667</v>
      </c>
      <c r="C13" s="4" t="n">
        <v>43160.125</v>
      </c>
      <c r="D13" s="3" t="n">
        <v>5</v>
      </c>
      <c r="E13" s="5" t="n">
        <v>10328.77</v>
      </c>
      <c r="F13" s="5" t="n">
        <v>10532.99</v>
      </c>
      <c r="G13" s="3" t="s">
        <v>19</v>
      </c>
      <c r="H13" s="5" t="n">
        <f aca="false">E13-F13</f>
        <v>-204.219999999999</v>
      </c>
      <c r="I13" s="6" t="n">
        <f aca="false">MAX(Fees!$B$6,Fees!$B$5*Fees!$B$4*E13)+MAX(Fees!$B$6,Fees!$B$5*Fees!$B$4*F13)</f>
        <v>0.3</v>
      </c>
      <c r="J13" s="6" t="n">
        <f aca="false">2*Fees!$B$8</f>
        <v>0.3</v>
      </c>
      <c r="K13" s="6" t="n">
        <f aca="false">2*Fees!$B$10</f>
        <v>5</v>
      </c>
      <c r="L13" s="5" t="n">
        <f aca="false">I13*Fees!$B$3/Fees!$B$4</f>
        <v>30</v>
      </c>
      <c r="M13" s="5" t="n">
        <f aca="false">J13*Fees!$B$3/Fees!$B$7</f>
        <v>30</v>
      </c>
      <c r="N13" s="5" t="n">
        <f aca="false">K13*Fees!$B$3/Fees!$B$9</f>
        <v>50</v>
      </c>
      <c r="O13" s="5" t="n">
        <f aca="false">2*Fees!$B$11*Fees!$B$3</f>
        <v>20</v>
      </c>
      <c r="P13" s="5" t="n">
        <f aca="false">H13*Fees!$B$3-L13-O13</f>
        <v>-254.219999999999</v>
      </c>
      <c r="Q13" s="5" t="n">
        <f aca="false">H13*Fees!$B$3-M13-O13</f>
        <v>-254.219999999999</v>
      </c>
      <c r="R13" s="5" t="n">
        <f aca="false">H13*Fees!$B$3-N13-O13</f>
        <v>-274.219999999999</v>
      </c>
    </row>
    <row r="14" customFormat="false" ht="15" hidden="false" customHeight="false" outlineLevel="0" collapsed="false">
      <c r="A14" s="3" t="n">
        <v>12</v>
      </c>
      <c r="B14" s="4" t="n">
        <v>43181.2916666667</v>
      </c>
      <c r="C14" s="4" t="n">
        <v>43183.5</v>
      </c>
      <c r="D14" s="3" t="n">
        <v>53</v>
      </c>
      <c r="E14" s="5" t="n">
        <v>8714.93</v>
      </c>
      <c r="F14" s="5" t="n">
        <v>8954.99</v>
      </c>
      <c r="G14" s="3" t="s">
        <v>19</v>
      </c>
      <c r="H14" s="5" t="n">
        <f aca="false">E14-F14</f>
        <v>-240.06</v>
      </c>
      <c r="I14" s="6" t="n">
        <f aca="false">MAX(Fees!$B$6,Fees!$B$5*Fees!$B$4*E14)+MAX(Fees!$B$6,Fees!$B$5*Fees!$B$4*F14)</f>
        <v>0.3</v>
      </c>
      <c r="J14" s="6" t="n">
        <f aca="false">2*Fees!$B$8</f>
        <v>0.3</v>
      </c>
      <c r="K14" s="6" t="n">
        <f aca="false">2*Fees!$B$10</f>
        <v>5</v>
      </c>
      <c r="L14" s="5" t="n">
        <f aca="false">I14*Fees!$B$3/Fees!$B$4</f>
        <v>30</v>
      </c>
      <c r="M14" s="5" t="n">
        <f aca="false">J14*Fees!$B$3/Fees!$B$7</f>
        <v>30</v>
      </c>
      <c r="N14" s="5" t="n">
        <f aca="false">K14*Fees!$B$3/Fees!$B$9</f>
        <v>50</v>
      </c>
      <c r="O14" s="5" t="n">
        <f aca="false">2*Fees!$B$11*Fees!$B$3</f>
        <v>20</v>
      </c>
      <c r="P14" s="5" t="n">
        <f aca="false">H14*Fees!$B$3-L14-O14</f>
        <v>-290.06</v>
      </c>
      <c r="Q14" s="5" t="n">
        <f aca="false">H14*Fees!$B$3-M14-O14</f>
        <v>-290.06</v>
      </c>
      <c r="R14" s="5" t="n">
        <f aca="false">H14*Fees!$B$3-N14-O14</f>
        <v>-310.06</v>
      </c>
    </row>
    <row r="15" customFormat="false" ht="15" hidden="false" customHeight="false" outlineLevel="0" collapsed="false">
      <c r="A15" s="3" t="n">
        <v>13</v>
      </c>
      <c r="B15" s="4" t="n">
        <v>43185.25</v>
      </c>
      <c r="C15" s="4" t="n">
        <v>43190.375</v>
      </c>
      <c r="D15" s="3" t="n">
        <v>123</v>
      </c>
      <c r="E15" s="5" t="n">
        <v>8305.41</v>
      </c>
      <c r="F15" s="5" t="n">
        <v>7179.19</v>
      </c>
      <c r="G15" s="3" t="s">
        <v>20</v>
      </c>
      <c r="H15" s="5" t="n">
        <f aca="false">E15-F15</f>
        <v>1126.22</v>
      </c>
      <c r="I15" s="6" t="n">
        <f aca="false">MAX(Fees!$B$6,Fees!$B$5*Fees!$B$4*E15)+MAX(Fees!$B$6,Fees!$B$5*Fees!$B$4*F15)</f>
        <v>0.3</v>
      </c>
      <c r="J15" s="6" t="n">
        <f aca="false">2*Fees!$B$8</f>
        <v>0.3</v>
      </c>
      <c r="K15" s="6" t="n">
        <f aca="false">2*Fees!$B$10</f>
        <v>5</v>
      </c>
      <c r="L15" s="5" t="n">
        <f aca="false">I15*Fees!$B$3/Fees!$B$4</f>
        <v>30</v>
      </c>
      <c r="M15" s="5" t="n">
        <f aca="false">J15*Fees!$B$3/Fees!$B$7</f>
        <v>30</v>
      </c>
      <c r="N15" s="5" t="n">
        <f aca="false">K15*Fees!$B$3/Fees!$B$9</f>
        <v>50</v>
      </c>
      <c r="O15" s="5" t="n">
        <f aca="false">2*Fees!$B$11*Fees!$B$3</f>
        <v>20</v>
      </c>
      <c r="P15" s="5" t="n">
        <f aca="false">H15*Fees!$B$3-L15-O15</f>
        <v>1076.22</v>
      </c>
      <c r="Q15" s="5" t="n">
        <f aca="false">H15*Fees!$B$3-M15-O15</f>
        <v>1076.22</v>
      </c>
      <c r="R15" s="5" t="n">
        <f aca="false">H15*Fees!$B$3-N15-O15</f>
        <v>1056.22</v>
      </c>
    </row>
    <row r="16" customFormat="false" ht="15" hidden="false" customHeight="false" outlineLevel="0" collapsed="false">
      <c r="A16" s="3" t="n">
        <v>14</v>
      </c>
      <c r="B16" s="4" t="n">
        <v>43235.5</v>
      </c>
      <c r="C16" s="4" t="n">
        <v>43238.6666666667</v>
      </c>
      <c r="D16" s="3" t="n">
        <v>76</v>
      </c>
      <c r="E16" s="5" t="n">
        <v>8520.3</v>
      </c>
      <c r="F16" s="5" t="n">
        <v>8231.42</v>
      </c>
      <c r="G16" s="3" t="s">
        <v>20</v>
      </c>
      <c r="H16" s="5" t="n">
        <f aca="false">E16-F16</f>
        <v>288.879999999999</v>
      </c>
      <c r="I16" s="6" t="n">
        <f aca="false">MAX(Fees!$B$6,Fees!$B$5*Fees!$B$4*E16)+MAX(Fees!$B$6,Fees!$B$5*Fees!$B$4*F16)</f>
        <v>0.3</v>
      </c>
      <c r="J16" s="6" t="n">
        <f aca="false">2*Fees!$B$8</f>
        <v>0.3</v>
      </c>
      <c r="K16" s="6" t="n">
        <f aca="false">2*Fees!$B$10</f>
        <v>5</v>
      </c>
      <c r="L16" s="5" t="n">
        <f aca="false">I16*Fees!$B$3/Fees!$B$4</f>
        <v>30</v>
      </c>
      <c r="M16" s="5" t="n">
        <f aca="false">J16*Fees!$B$3/Fees!$B$7</f>
        <v>30</v>
      </c>
      <c r="N16" s="5" t="n">
        <f aca="false">K16*Fees!$B$3/Fees!$B$9</f>
        <v>50</v>
      </c>
      <c r="O16" s="5" t="n">
        <f aca="false">2*Fees!$B$11*Fees!$B$3</f>
        <v>20</v>
      </c>
      <c r="P16" s="5" t="n">
        <f aca="false">H16*Fees!$B$3-L16-O16</f>
        <v>238.879999999999</v>
      </c>
      <c r="Q16" s="5" t="n">
        <f aca="false">H16*Fees!$B$3-M16-O16</f>
        <v>238.879999999999</v>
      </c>
      <c r="R16" s="5" t="n">
        <f aca="false">H16*Fees!$B$3-N16-O16</f>
        <v>218.879999999999</v>
      </c>
    </row>
    <row r="17" customFormat="false" ht="15" hidden="false" customHeight="false" outlineLevel="0" collapsed="false">
      <c r="A17" s="3" t="n">
        <v>15</v>
      </c>
      <c r="B17" s="4" t="n">
        <v>43241.4583333333</v>
      </c>
      <c r="C17" s="4" t="n">
        <v>43246.1666666667</v>
      </c>
      <c r="D17" s="3" t="n">
        <v>113</v>
      </c>
      <c r="E17" s="5" t="n">
        <v>8407.09</v>
      </c>
      <c r="F17" s="5" t="n">
        <v>7550.15</v>
      </c>
      <c r="G17" s="3" t="s">
        <v>20</v>
      </c>
      <c r="H17" s="5" t="n">
        <f aca="false">E17-F17</f>
        <v>856.940000000001</v>
      </c>
      <c r="I17" s="6" t="n">
        <f aca="false">MAX(Fees!$B$6,Fees!$B$5*Fees!$B$4*E17)+MAX(Fees!$B$6,Fees!$B$5*Fees!$B$4*F17)</f>
        <v>0.3</v>
      </c>
      <c r="J17" s="6" t="n">
        <f aca="false">2*Fees!$B$8</f>
        <v>0.3</v>
      </c>
      <c r="K17" s="6" t="n">
        <f aca="false">2*Fees!$B$10</f>
        <v>5</v>
      </c>
      <c r="L17" s="5" t="n">
        <f aca="false">I17*Fees!$B$3/Fees!$B$4</f>
        <v>30</v>
      </c>
      <c r="M17" s="5" t="n">
        <f aca="false">J17*Fees!$B$3/Fees!$B$7</f>
        <v>30</v>
      </c>
      <c r="N17" s="5" t="n">
        <f aca="false">K17*Fees!$B$3/Fees!$B$9</f>
        <v>50</v>
      </c>
      <c r="O17" s="5" t="n">
        <f aca="false">2*Fees!$B$11*Fees!$B$3</f>
        <v>20</v>
      </c>
      <c r="P17" s="5" t="n">
        <f aca="false">H17*Fees!$B$3-L17-O17</f>
        <v>806.940000000001</v>
      </c>
      <c r="Q17" s="5" t="n">
        <f aca="false">H17*Fees!$B$3-M17-O17</f>
        <v>806.940000000001</v>
      </c>
      <c r="R17" s="5" t="n">
        <f aca="false">H17*Fees!$B$3-N17-O17</f>
        <v>786.940000000001</v>
      </c>
    </row>
    <row r="18" customFormat="false" ht="15" hidden="false" customHeight="false" outlineLevel="0" collapsed="false">
      <c r="A18" s="3" t="n">
        <v>16</v>
      </c>
      <c r="B18" s="4" t="n">
        <v>43246.9583333333</v>
      </c>
      <c r="C18" s="4" t="n">
        <v>43251.0416666667</v>
      </c>
      <c r="D18" s="3" t="n">
        <v>98</v>
      </c>
      <c r="E18" s="5" t="n">
        <v>7317.72</v>
      </c>
      <c r="F18" s="5" t="n">
        <v>7488.7</v>
      </c>
      <c r="G18" s="3" t="s">
        <v>19</v>
      </c>
      <c r="H18" s="5" t="n">
        <f aca="false">E18-F18</f>
        <v>-170.98</v>
      </c>
      <c r="I18" s="6" t="n">
        <f aca="false">MAX(Fees!$B$6,Fees!$B$5*Fees!$B$4*E18)+MAX(Fees!$B$6,Fees!$B$5*Fees!$B$4*F18)</f>
        <v>0.3</v>
      </c>
      <c r="J18" s="6" t="n">
        <f aca="false">2*Fees!$B$8</f>
        <v>0.3</v>
      </c>
      <c r="K18" s="6" t="n">
        <f aca="false">2*Fees!$B$10</f>
        <v>5</v>
      </c>
      <c r="L18" s="5" t="n">
        <f aca="false">I18*Fees!$B$3/Fees!$B$4</f>
        <v>30</v>
      </c>
      <c r="M18" s="5" t="n">
        <f aca="false">J18*Fees!$B$3/Fees!$B$7</f>
        <v>30</v>
      </c>
      <c r="N18" s="5" t="n">
        <f aca="false">K18*Fees!$B$3/Fees!$B$9</f>
        <v>50</v>
      </c>
      <c r="O18" s="5" t="n">
        <f aca="false">2*Fees!$B$11*Fees!$B$3</f>
        <v>20</v>
      </c>
      <c r="P18" s="5" t="n">
        <f aca="false">H18*Fees!$B$3-L18-O18</f>
        <v>-220.98</v>
      </c>
      <c r="Q18" s="5" t="n">
        <f aca="false">H18*Fees!$B$3-M18-O18</f>
        <v>-220.98</v>
      </c>
      <c r="R18" s="5" t="n">
        <f aca="false">H18*Fees!$B$3-N18-O18</f>
        <v>-240.98</v>
      </c>
    </row>
    <row r="19" customFormat="false" ht="15" hidden="false" customHeight="false" outlineLevel="0" collapsed="false">
      <c r="A19" s="3" t="n">
        <v>17</v>
      </c>
      <c r="B19" s="4" t="n">
        <v>43259.1666666667</v>
      </c>
      <c r="C19" s="4" t="n">
        <v>43259.5416666667</v>
      </c>
      <c r="D19" s="3" t="n">
        <v>9</v>
      </c>
      <c r="E19" s="5" t="n">
        <v>7632</v>
      </c>
      <c r="F19" s="5" t="n">
        <v>7649.17</v>
      </c>
      <c r="G19" s="3" t="s">
        <v>19</v>
      </c>
      <c r="H19" s="5" t="n">
        <f aca="false">E19-F19</f>
        <v>-17.1700000000001</v>
      </c>
      <c r="I19" s="6" t="n">
        <f aca="false">MAX(Fees!$B$6,Fees!$B$5*Fees!$B$4*E19)+MAX(Fees!$B$6,Fees!$B$5*Fees!$B$4*F19)</f>
        <v>0.3</v>
      </c>
      <c r="J19" s="6" t="n">
        <f aca="false">2*Fees!$B$8</f>
        <v>0.3</v>
      </c>
      <c r="K19" s="6" t="n">
        <f aca="false">2*Fees!$B$10</f>
        <v>5</v>
      </c>
      <c r="L19" s="5" t="n">
        <f aca="false">I19*Fees!$B$3/Fees!$B$4</f>
        <v>30</v>
      </c>
      <c r="M19" s="5" t="n">
        <f aca="false">J19*Fees!$B$3/Fees!$B$7</f>
        <v>30</v>
      </c>
      <c r="N19" s="5" t="n">
        <f aca="false">K19*Fees!$B$3/Fees!$B$9</f>
        <v>50</v>
      </c>
      <c r="O19" s="5" t="n">
        <f aca="false">2*Fees!$B$11*Fees!$B$3</f>
        <v>20</v>
      </c>
      <c r="P19" s="5" t="n">
        <f aca="false">H19*Fees!$B$3-L19-O19</f>
        <v>-67.1700000000001</v>
      </c>
      <c r="Q19" s="5" t="n">
        <f aca="false">H19*Fees!$B$3-M19-O19</f>
        <v>-67.1700000000001</v>
      </c>
      <c r="R19" s="5" t="n">
        <f aca="false">H19*Fees!$B$3-N19-O19</f>
        <v>-87.1700000000001</v>
      </c>
    </row>
    <row r="20" customFormat="false" ht="15" hidden="false" customHeight="false" outlineLevel="0" collapsed="false">
      <c r="A20" s="3" t="n">
        <v>18</v>
      </c>
      <c r="B20" s="4" t="n">
        <v>43263.6666666667</v>
      </c>
      <c r="C20" s="4" t="n">
        <v>43265.7083333333</v>
      </c>
      <c r="D20" s="3" t="n">
        <v>49</v>
      </c>
      <c r="E20" s="5" t="n">
        <v>6514.6</v>
      </c>
      <c r="F20" s="5" t="n">
        <v>6660.19</v>
      </c>
      <c r="G20" s="3" t="s">
        <v>20</v>
      </c>
      <c r="H20" s="5" t="n">
        <f aca="false">E20-F20</f>
        <v>-145.589999999999</v>
      </c>
      <c r="I20" s="6" t="n">
        <f aca="false">MAX(Fees!$B$6,Fees!$B$5*Fees!$B$4*E20)+MAX(Fees!$B$6,Fees!$B$5*Fees!$B$4*F20)</f>
        <v>0.3</v>
      </c>
      <c r="J20" s="6" t="n">
        <f aca="false">2*Fees!$B$8</f>
        <v>0.3</v>
      </c>
      <c r="K20" s="6" t="n">
        <f aca="false">2*Fees!$B$10</f>
        <v>5</v>
      </c>
      <c r="L20" s="5" t="n">
        <f aca="false">I20*Fees!$B$3/Fees!$B$4</f>
        <v>30</v>
      </c>
      <c r="M20" s="5" t="n">
        <f aca="false">J20*Fees!$B$3/Fees!$B$7</f>
        <v>30</v>
      </c>
      <c r="N20" s="5" t="n">
        <f aca="false">K20*Fees!$B$3/Fees!$B$9</f>
        <v>50</v>
      </c>
      <c r="O20" s="5" t="n">
        <f aca="false">2*Fees!$B$11*Fees!$B$3</f>
        <v>20</v>
      </c>
      <c r="P20" s="5" t="n">
        <f aca="false">H20*Fees!$B$3-L20-O20</f>
        <v>-195.589999999999</v>
      </c>
      <c r="Q20" s="5" t="n">
        <f aca="false">H20*Fees!$B$3-M20-O20</f>
        <v>-195.589999999999</v>
      </c>
      <c r="R20" s="5" t="n">
        <f aca="false">H20*Fees!$B$3-N20-O20</f>
        <v>-215.589999999999</v>
      </c>
    </row>
    <row r="21" customFormat="false" ht="15" hidden="false" customHeight="false" outlineLevel="0" collapsed="false">
      <c r="A21" s="3" t="n">
        <v>19</v>
      </c>
      <c r="B21" s="4" t="n">
        <v>43266.7083333333</v>
      </c>
      <c r="C21" s="4" t="n">
        <v>43269.5416666667</v>
      </c>
      <c r="D21" s="3" t="n">
        <v>68</v>
      </c>
      <c r="E21" s="5" t="n">
        <v>6496.66</v>
      </c>
      <c r="F21" s="5" t="n">
        <v>6650.23</v>
      </c>
      <c r="G21" s="3" t="s">
        <v>20</v>
      </c>
      <c r="H21" s="5" t="n">
        <f aca="false">E21-F21</f>
        <v>-153.57</v>
      </c>
      <c r="I21" s="6" t="n">
        <f aca="false">MAX(Fees!$B$6,Fees!$B$5*Fees!$B$4*E21)+MAX(Fees!$B$6,Fees!$B$5*Fees!$B$4*F21)</f>
        <v>0.3</v>
      </c>
      <c r="J21" s="6" t="n">
        <f aca="false">2*Fees!$B$8</f>
        <v>0.3</v>
      </c>
      <c r="K21" s="6" t="n">
        <f aca="false">2*Fees!$B$10</f>
        <v>5</v>
      </c>
      <c r="L21" s="5" t="n">
        <f aca="false">I21*Fees!$B$3/Fees!$B$4</f>
        <v>30</v>
      </c>
      <c r="M21" s="5" t="n">
        <f aca="false">J21*Fees!$B$3/Fees!$B$7</f>
        <v>30</v>
      </c>
      <c r="N21" s="5" t="n">
        <f aca="false">K21*Fees!$B$3/Fees!$B$9</f>
        <v>50</v>
      </c>
      <c r="O21" s="5" t="n">
        <f aca="false">2*Fees!$B$11*Fees!$B$3</f>
        <v>20</v>
      </c>
      <c r="P21" s="5" t="n">
        <f aca="false">H21*Fees!$B$3-L21-O21</f>
        <v>-203.57</v>
      </c>
      <c r="Q21" s="5" t="n">
        <f aca="false">H21*Fees!$B$3-M21-O21</f>
        <v>-203.57</v>
      </c>
      <c r="R21" s="5" t="n">
        <f aca="false">H21*Fees!$B$3-N21-O21</f>
        <v>-223.57</v>
      </c>
    </row>
    <row r="22" customFormat="false" ht="15" hidden="false" customHeight="false" outlineLevel="0" collapsed="false">
      <c r="A22" s="3" t="n">
        <v>20</v>
      </c>
      <c r="B22" s="4" t="n">
        <v>43277.4166666667</v>
      </c>
      <c r="C22" s="4" t="n">
        <v>43280.7916666667</v>
      </c>
      <c r="D22" s="3" t="n">
        <v>81</v>
      </c>
      <c r="E22" s="5" t="n">
        <v>6172.49</v>
      </c>
      <c r="F22" s="5" t="n">
        <v>6290.46</v>
      </c>
      <c r="G22" s="3" t="s">
        <v>21</v>
      </c>
      <c r="H22" s="5" t="n">
        <f aca="false">E22-F22</f>
        <v>-117.97</v>
      </c>
      <c r="I22" s="6" t="n">
        <f aca="false">MAX(Fees!$B$6,Fees!$B$5*Fees!$B$4*E22)+MAX(Fees!$B$6,Fees!$B$5*Fees!$B$4*F22)</f>
        <v>0.3</v>
      </c>
      <c r="J22" s="6" t="n">
        <f aca="false">2*Fees!$B$8</f>
        <v>0.3</v>
      </c>
      <c r="K22" s="6" t="n">
        <f aca="false">2*Fees!$B$10</f>
        <v>5</v>
      </c>
      <c r="L22" s="5" t="n">
        <f aca="false">I22*Fees!$B$3/Fees!$B$4</f>
        <v>30</v>
      </c>
      <c r="M22" s="5" t="n">
        <f aca="false">J22*Fees!$B$3/Fees!$B$7</f>
        <v>30</v>
      </c>
      <c r="N22" s="5" t="n">
        <f aca="false">K22*Fees!$B$3/Fees!$B$9</f>
        <v>50</v>
      </c>
      <c r="O22" s="5" t="n">
        <f aca="false">2*Fees!$B$11*Fees!$B$3</f>
        <v>20</v>
      </c>
      <c r="P22" s="5" t="n">
        <f aca="false">H22*Fees!$B$3-L22-O22</f>
        <v>-167.97</v>
      </c>
      <c r="Q22" s="5" t="n">
        <f aca="false">H22*Fees!$B$3-M22-O22</f>
        <v>-167.97</v>
      </c>
      <c r="R22" s="5" t="n">
        <f aca="false">H22*Fees!$B$3-N22-O22</f>
        <v>-187.97</v>
      </c>
    </row>
    <row r="23" customFormat="false" ht="15" hidden="false" customHeight="false" outlineLevel="0" collapsed="false">
      <c r="A23" s="3" t="n">
        <v>21</v>
      </c>
      <c r="B23" s="4" t="n">
        <v>43284.2916666667</v>
      </c>
      <c r="C23" s="4" t="n">
        <v>43285.4166666667</v>
      </c>
      <c r="D23" s="3" t="n">
        <v>27</v>
      </c>
      <c r="E23" s="5" t="n">
        <v>6570.86</v>
      </c>
      <c r="F23" s="5" t="n">
        <v>6676.58</v>
      </c>
      <c r="G23" s="3" t="s">
        <v>21</v>
      </c>
      <c r="H23" s="5" t="n">
        <f aca="false">E23-F23</f>
        <v>-105.72</v>
      </c>
      <c r="I23" s="6" t="n">
        <f aca="false">MAX(Fees!$B$6,Fees!$B$5*Fees!$B$4*E23)+MAX(Fees!$B$6,Fees!$B$5*Fees!$B$4*F23)</f>
        <v>0.3</v>
      </c>
      <c r="J23" s="6" t="n">
        <f aca="false">2*Fees!$B$8</f>
        <v>0.3</v>
      </c>
      <c r="K23" s="6" t="n">
        <f aca="false">2*Fees!$B$10</f>
        <v>5</v>
      </c>
      <c r="L23" s="5" t="n">
        <f aca="false">I23*Fees!$B$3/Fees!$B$4</f>
        <v>30</v>
      </c>
      <c r="M23" s="5" t="n">
        <f aca="false">J23*Fees!$B$3/Fees!$B$7</f>
        <v>30</v>
      </c>
      <c r="N23" s="5" t="n">
        <f aca="false">K23*Fees!$B$3/Fees!$B$9</f>
        <v>50</v>
      </c>
      <c r="O23" s="5" t="n">
        <f aca="false">2*Fees!$B$11*Fees!$B$3</f>
        <v>20</v>
      </c>
      <c r="P23" s="5" t="n">
        <f aca="false">H23*Fees!$B$3-L23-O23</f>
        <v>-155.72</v>
      </c>
      <c r="Q23" s="5" t="n">
        <f aca="false">H23*Fees!$B$3-M23-O23</f>
        <v>-155.72</v>
      </c>
      <c r="R23" s="5" t="n">
        <f aca="false">H23*Fees!$B$3-N23-O23</f>
        <v>-175.72</v>
      </c>
    </row>
    <row r="24" customFormat="false" ht="15" hidden="false" customHeight="false" outlineLevel="0" collapsed="false">
      <c r="A24" s="3" t="n">
        <v>22</v>
      </c>
      <c r="B24" s="4" t="n">
        <v>43322.7083333333</v>
      </c>
      <c r="C24" s="4" t="n">
        <v>43323.5833333333</v>
      </c>
      <c r="D24" s="3" t="n">
        <v>21</v>
      </c>
      <c r="E24" s="5" t="n">
        <v>6189.04</v>
      </c>
      <c r="F24" s="5" t="n">
        <v>6452.83</v>
      </c>
      <c r="G24" s="3" t="s">
        <v>20</v>
      </c>
      <c r="H24" s="5" t="n">
        <f aca="false">E24-F24</f>
        <v>-263.79</v>
      </c>
      <c r="I24" s="6" t="n">
        <f aca="false">MAX(Fees!$B$6,Fees!$B$5*Fees!$B$4*E24)+MAX(Fees!$B$6,Fees!$B$5*Fees!$B$4*F24)</f>
        <v>0.3</v>
      </c>
      <c r="J24" s="6" t="n">
        <f aca="false">2*Fees!$B$8</f>
        <v>0.3</v>
      </c>
      <c r="K24" s="6" t="n">
        <f aca="false">2*Fees!$B$10</f>
        <v>5</v>
      </c>
      <c r="L24" s="5" t="n">
        <f aca="false">I24*Fees!$B$3/Fees!$B$4</f>
        <v>30</v>
      </c>
      <c r="M24" s="5" t="n">
        <f aca="false">J24*Fees!$B$3/Fees!$B$7</f>
        <v>30</v>
      </c>
      <c r="N24" s="5" t="n">
        <f aca="false">K24*Fees!$B$3/Fees!$B$9</f>
        <v>50</v>
      </c>
      <c r="O24" s="5" t="n">
        <f aca="false">2*Fees!$B$11*Fees!$B$3</f>
        <v>20</v>
      </c>
      <c r="P24" s="5" t="n">
        <f aca="false">H24*Fees!$B$3-L24-O24</f>
        <v>-313.79</v>
      </c>
      <c r="Q24" s="5" t="n">
        <f aca="false">H24*Fees!$B$3-M24-O24</f>
        <v>-313.79</v>
      </c>
      <c r="R24" s="5" t="n">
        <f aca="false">H24*Fees!$B$3-N24-O24</f>
        <v>-333.79</v>
      </c>
    </row>
    <row r="25" customFormat="false" ht="15" hidden="false" customHeight="false" outlineLevel="0" collapsed="false">
      <c r="A25" s="3" t="n">
        <v>23</v>
      </c>
      <c r="B25" s="4" t="n">
        <v>43330.5416666667</v>
      </c>
      <c r="C25" s="4" t="n">
        <v>43331.4166666667</v>
      </c>
      <c r="D25" s="3" t="n">
        <v>21</v>
      </c>
      <c r="E25" s="5" t="n">
        <v>6350.59</v>
      </c>
      <c r="F25" s="5" t="n">
        <v>6454.69</v>
      </c>
      <c r="G25" s="3" t="s">
        <v>20</v>
      </c>
      <c r="H25" s="5" t="n">
        <f aca="false">E25-F25</f>
        <v>-104.099999999999</v>
      </c>
      <c r="I25" s="6" t="n">
        <f aca="false">MAX(Fees!$B$6,Fees!$B$5*Fees!$B$4*E25)+MAX(Fees!$B$6,Fees!$B$5*Fees!$B$4*F25)</f>
        <v>0.3</v>
      </c>
      <c r="J25" s="6" t="n">
        <f aca="false">2*Fees!$B$8</f>
        <v>0.3</v>
      </c>
      <c r="K25" s="6" t="n">
        <f aca="false">2*Fees!$B$10</f>
        <v>5</v>
      </c>
      <c r="L25" s="5" t="n">
        <f aca="false">I25*Fees!$B$3/Fees!$B$4</f>
        <v>30</v>
      </c>
      <c r="M25" s="5" t="n">
        <f aca="false">J25*Fees!$B$3/Fees!$B$7</f>
        <v>30</v>
      </c>
      <c r="N25" s="5" t="n">
        <f aca="false">K25*Fees!$B$3/Fees!$B$9</f>
        <v>50</v>
      </c>
      <c r="O25" s="5" t="n">
        <f aca="false">2*Fees!$B$11*Fees!$B$3</f>
        <v>20</v>
      </c>
      <c r="P25" s="5" t="n">
        <f aca="false">H25*Fees!$B$3-L25-O25</f>
        <v>-154.099999999999</v>
      </c>
      <c r="Q25" s="5" t="n">
        <f aca="false">H25*Fees!$B$3-M25-O25</f>
        <v>-154.099999999999</v>
      </c>
      <c r="R25" s="5" t="n">
        <f aca="false">H25*Fees!$B$3-N25-O25</f>
        <v>-174.099999999999</v>
      </c>
    </row>
    <row r="26" customFormat="false" ht="15" hidden="false" customHeight="false" outlineLevel="0" collapsed="false">
      <c r="A26" s="3" t="n">
        <v>24</v>
      </c>
      <c r="B26" s="4" t="n">
        <v>43332.7916666667</v>
      </c>
      <c r="C26" s="4" t="n">
        <v>43333.1666666667</v>
      </c>
      <c r="D26" s="3" t="n">
        <v>9</v>
      </c>
      <c r="E26" s="5" t="n">
        <v>6308.16</v>
      </c>
      <c r="F26" s="5" t="n">
        <v>6398.61</v>
      </c>
      <c r="G26" s="3" t="s">
        <v>19</v>
      </c>
      <c r="H26" s="5" t="n">
        <f aca="false">E26-F26</f>
        <v>-90.4499999999998</v>
      </c>
      <c r="I26" s="6" t="n">
        <f aca="false">MAX(Fees!$B$6,Fees!$B$5*Fees!$B$4*E26)+MAX(Fees!$B$6,Fees!$B$5*Fees!$B$4*F26)</f>
        <v>0.3</v>
      </c>
      <c r="J26" s="6" t="n">
        <f aca="false">2*Fees!$B$8</f>
        <v>0.3</v>
      </c>
      <c r="K26" s="6" t="n">
        <f aca="false">2*Fees!$B$10</f>
        <v>5</v>
      </c>
      <c r="L26" s="5" t="n">
        <f aca="false">I26*Fees!$B$3/Fees!$B$4</f>
        <v>30</v>
      </c>
      <c r="M26" s="5" t="n">
        <f aca="false">J26*Fees!$B$3/Fees!$B$7</f>
        <v>30</v>
      </c>
      <c r="N26" s="5" t="n">
        <f aca="false">K26*Fees!$B$3/Fees!$B$9</f>
        <v>50</v>
      </c>
      <c r="O26" s="5" t="n">
        <f aca="false">2*Fees!$B$11*Fees!$B$3</f>
        <v>20</v>
      </c>
      <c r="P26" s="5" t="n">
        <f aca="false">H26*Fees!$B$3-L26-O26</f>
        <v>-140.45</v>
      </c>
      <c r="Q26" s="5" t="n">
        <f aca="false">H26*Fees!$B$3-M26-O26</f>
        <v>-140.45</v>
      </c>
      <c r="R26" s="5" t="n">
        <f aca="false">H26*Fees!$B$3-N26-O26</f>
        <v>-160.45</v>
      </c>
    </row>
    <row r="27" customFormat="false" ht="15" hidden="false" customHeight="false" outlineLevel="0" collapsed="false">
      <c r="A27" s="3" t="n">
        <v>25</v>
      </c>
      <c r="B27" s="4" t="n">
        <v>43367.8333333333</v>
      </c>
      <c r="C27" s="4" t="n">
        <v>43370.6666666667</v>
      </c>
      <c r="D27" s="3" t="n">
        <v>68</v>
      </c>
      <c r="E27" s="5" t="n">
        <v>6581.52</v>
      </c>
      <c r="F27" s="5" t="n">
        <v>6651.99</v>
      </c>
      <c r="G27" s="3" t="s">
        <v>20</v>
      </c>
      <c r="H27" s="5" t="n">
        <f aca="false">E27-F27</f>
        <v>-70.4699999999994</v>
      </c>
      <c r="I27" s="6" t="n">
        <f aca="false">MAX(Fees!$B$6,Fees!$B$5*Fees!$B$4*E27)+MAX(Fees!$B$6,Fees!$B$5*Fees!$B$4*F27)</f>
        <v>0.3</v>
      </c>
      <c r="J27" s="6" t="n">
        <f aca="false">2*Fees!$B$8</f>
        <v>0.3</v>
      </c>
      <c r="K27" s="6" t="n">
        <f aca="false">2*Fees!$B$10</f>
        <v>5</v>
      </c>
      <c r="L27" s="5" t="n">
        <f aca="false">I27*Fees!$B$3/Fees!$B$4</f>
        <v>30</v>
      </c>
      <c r="M27" s="5" t="n">
        <f aca="false">J27*Fees!$B$3/Fees!$B$7</f>
        <v>30</v>
      </c>
      <c r="N27" s="5" t="n">
        <f aca="false">K27*Fees!$B$3/Fees!$B$9</f>
        <v>50</v>
      </c>
      <c r="O27" s="5" t="n">
        <f aca="false">2*Fees!$B$11*Fees!$B$3</f>
        <v>20</v>
      </c>
      <c r="P27" s="5" t="n">
        <f aca="false">H27*Fees!$B$3-L27-O27</f>
        <v>-120.469999999999</v>
      </c>
      <c r="Q27" s="5" t="n">
        <f aca="false">H27*Fees!$B$3-M27-O27</f>
        <v>-120.469999999999</v>
      </c>
      <c r="R27" s="5" t="n">
        <f aca="false">H27*Fees!$B$3-N27-O27</f>
        <v>-140.469999999999</v>
      </c>
    </row>
    <row r="28" customFormat="false" ht="15" hidden="false" customHeight="false" outlineLevel="0" collapsed="false">
      <c r="A28" s="3" t="n">
        <v>26</v>
      </c>
      <c r="B28" s="4" t="n">
        <v>43371.9166666667</v>
      </c>
      <c r="C28" s="4" t="n">
        <v>43372.3333333333</v>
      </c>
      <c r="D28" s="3" t="n">
        <v>10</v>
      </c>
      <c r="E28" s="5" t="n">
        <v>6466.72</v>
      </c>
      <c r="F28" s="5" t="n">
        <v>6570</v>
      </c>
      <c r="G28" s="3" t="s">
        <v>19</v>
      </c>
      <c r="H28" s="5" t="n">
        <f aca="false">E28-F28</f>
        <v>-103.28</v>
      </c>
      <c r="I28" s="6" t="n">
        <f aca="false">MAX(Fees!$B$6,Fees!$B$5*Fees!$B$4*E28)+MAX(Fees!$B$6,Fees!$B$5*Fees!$B$4*F28)</f>
        <v>0.3</v>
      </c>
      <c r="J28" s="6" t="n">
        <f aca="false">2*Fees!$B$8</f>
        <v>0.3</v>
      </c>
      <c r="K28" s="6" t="n">
        <f aca="false">2*Fees!$B$10</f>
        <v>5</v>
      </c>
      <c r="L28" s="5" t="n">
        <f aca="false">I28*Fees!$B$3/Fees!$B$4</f>
        <v>30</v>
      </c>
      <c r="M28" s="5" t="n">
        <f aca="false">J28*Fees!$B$3/Fees!$B$7</f>
        <v>30</v>
      </c>
      <c r="N28" s="5" t="n">
        <f aca="false">K28*Fees!$B$3/Fees!$B$9</f>
        <v>50</v>
      </c>
      <c r="O28" s="5" t="n">
        <f aca="false">2*Fees!$B$11*Fees!$B$3</f>
        <v>20</v>
      </c>
      <c r="P28" s="5" t="n">
        <f aca="false">H28*Fees!$B$3-L28-O28</f>
        <v>-153.28</v>
      </c>
      <c r="Q28" s="5" t="n">
        <f aca="false">H28*Fees!$B$3-M28-O28</f>
        <v>-153.28</v>
      </c>
      <c r="R28" s="5" t="n">
        <f aca="false">H28*Fees!$B$3-N28-O28</f>
        <v>-173.28</v>
      </c>
    </row>
    <row r="29" customFormat="false" ht="15" hidden="false" customHeight="false" outlineLevel="0" collapsed="false">
      <c r="A29" s="3" t="n">
        <v>27</v>
      </c>
      <c r="B29" s="4" t="n">
        <v>43380.2083333333</v>
      </c>
      <c r="C29" s="4" t="n">
        <v>43380.5833333333</v>
      </c>
      <c r="D29" s="3" t="n">
        <v>9</v>
      </c>
      <c r="E29" s="5" t="n">
        <v>6512.72</v>
      </c>
      <c r="F29" s="5" t="n">
        <v>6533.46</v>
      </c>
      <c r="G29" s="3" t="s">
        <v>19</v>
      </c>
      <c r="H29" s="5" t="n">
        <f aca="false">E29-F29</f>
        <v>-20.7399999999998</v>
      </c>
      <c r="I29" s="6" t="n">
        <f aca="false">MAX(Fees!$B$6,Fees!$B$5*Fees!$B$4*E29)+MAX(Fees!$B$6,Fees!$B$5*Fees!$B$4*F29)</f>
        <v>0.3</v>
      </c>
      <c r="J29" s="6" t="n">
        <f aca="false">2*Fees!$B$8</f>
        <v>0.3</v>
      </c>
      <c r="K29" s="6" t="n">
        <f aca="false">2*Fees!$B$10</f>
        <v>5</v>
      </c>
      <c r="L29" s="5" t="n">
        <f aca="false">I29*Fees!$B$3/Fees!$B$4</f>
        <v>30</v>
      </c>
      <c r="M29" s="5" t="n">
        <f aca="false">J29*Fees!$B$3/Fees!$B$7</f>
        <v>30</v>
      </c>
      <c r="N29" s="5" t="n">
        <f aca="false">K29*Fees!$B$3/Fees!$B$9</f>
        <v>50</v>
      </c>
      <c r="O29" s="5" t="n">
        <f aca="false">2*Fees!$B$11*Fees!$B$3</f>
        <v>20</v>
      </c>
      <c r="P29" s="5" t="n">
        <f aca="false">H29*Fees!$B$3-L29-O29</f>
        <v>-70.7399999999998</v>
      </c>
      <c r="Q29" s="5" t="n">
        <f aca="false">H29*Fees!$B$3-M29-O29</f>
        <v>-70.7399999999998</v>
      </c>
      <c r="R29" s="5" t="n">
        <f aca="false">H29*Fees!$B$3-N29-O29</f>
        <v>-90.7399999999998</v>
      </c>
    </row>
    <row r="30" customFormat="false" ht="15" hidden="false" customHeight="false" outlineLevel="0" collapsed="false">
      <c r="A30" s="3" t="n">
        <v>28</v>
      </c>
      <c r="B30" s="4" t="n">
        <v>43382.3333333333</v>
      </c>
      <c r="C30" s="4" t="n">
        <v>43382.7916666667</v>
      </c>
      <c r="D30" s="3" t="n">
        <v>11</v>
      </c>
      <c r="E30" s="5" t="n">
        <v>6584.88</v>
      </c>
      <c r="F30" s="5" t="n">
        <v>6593.66</v>
      </c>
      <c r="G30" s="3" t="s">
        <v>19</v>
      </c>
      <c r="H30" s="5" t="n">
        <f aca="false">E30-F30</f>
        <v>-8.77999999999975</v>
      </c>
      <c r="I30" s="6" t="n">
        <f aca="false">MAX(Fees!$B$6,Fees!$B$5*Fees!$B$4*E30)+MAX(Fees!$B$6,Fees!$B$5*Fees!$B$4*F30)</f>
        <v>0.3</v>
      </c>
      <c r="J30" s="6" t="n">
        <f aca="false">2*Fees!$B$8</f>
        <v>0.3</v>
      </c>
      <c r="K30" s="6" t="n">
        <f aca="false">2*Fees!$B$10</f>
        <v>5</v>
      </c>
      <c r="L30" s="5" t="n">
        <f aca="false">I30*Fees!$B$3/Fees!$B$4</f>
        <v>30</v>
      </c>
      <c r="M30" s="5" t="n">
        <f aca="false">J30*Fees!$B$3/Fees!$B$7</f>
        <v>30</v>
      </c>
      <c r="N30" s="5" t="n">
        <f aca="false">K30*Fees!$B$3/Fees!$B$9</f>
        <v>50</v>
      </c>
      <c r="O30" s="5" t="n">
        <f aca="false">2*Fees!$B$11*Fees!$B$3</f>
        <v>20</v>
      </c>
      <c r="P30" s="5" t="n">
        <f aca="false">H30*Fees!$B$3-L30-O30</f>
        <v>-58.7799999999997</v>
      </c>
      <c r="Q30" s="5" t="n">
        <f aca="false">H30*Fees!$B$3-M30-O30</f>
        <v>-58.7799999999997</v>
      </c>
      <c r="R30" s="5" t="n">
        <f aca="false">H30*Fees!$B$3-N30-O30</f>
        <v>-78.7799999999998</v>
      </c>
    </row>
    <row r="31" customFormat="false" ht="15" hidden="false" customHeight="false" outlineLevel="0" collapsed="false">
      <c r="A31" s="3" t="n">
        <v>29</v>
      </c>
      <c r="B31" s="4" t="n">
        <v>43391.5833333333</v>
      </c>
      <c r="C31" s="4" t="n">
        <v>43393.125</v>
      </c>
      <c r="D31" s="3" t="n">
        <v>37</v>
      </c>
      <c r="E31" s="5" t="n">
        <v>6392.63</v>
      </c>
      <c r="F31" s="5" t="n">
        <v>6408.48</v>
      </c>
      <c r="G31" s="3" t="s">
        <v>20</v>
      </c>
      <c r="H31" s="5" t="n">
        <f aca="false">E31-F31</f>
        <v>-15.8499999999995</v>
      </c>
      <c r="I31" s="6" t="n">
        <f aca="false">MAX(Fees!$B$6,Fees!$B$5*Fees!$B$4*E31)+MAX(Fees!$B$6,Fees!$B$5*Fees!$B$4*F31)</f>
        <v>0.3</v>
      </c>
      <c r="J31" s="6" t="n">
        <f aca="false">2*Fees!$B$8</f>
        <v>0.3</v>
      </c>
      <c r="K31" s="6" t="n">
        <f aca="false">2*Fees!$B$10</f>
        <v>5</v>
      </c>
      <c r="L31" s="5" t="n">
        <f aca="false">I31*Fees!$B$3/Fees!$B$4</f>
        <v>30</v>
      </c>
      <c r="M31" s="5" t="n">
        <f aca="false">J31*Fees!$B$3/Fees!$B$7</f>
        <v>30</v>
      </c>
      <c r="N31" s="5" t="n">
        <f aca="false">K31*Fees!$B$3/Fees!$B$9</f>
        <v>50</v>
      </c>
      <c r="O31" s="5" t="n">
        <f aca="false">2*Fees!$B$11*Fees!$B$3</f>
        <v>20</v>
      </c>
      <c r="P31" s="5" t="n">
        <f aca="false">H31*Fees!$B$3-L31-O31</f>
        <v>-65.8499999999995</v>
      </c>
      <c r="Q31" s="5" t="n">
        <f aca="false">H31*Fees!$B$3-M31-O31</f>
        <v>-65.8499999999995</v>
      </c>
      <c r="R31" s="5" t="n">
        <f aca="false">H31*Fees!$B$3-N31-O31</f>
        <v>-85.8499999999995</v>
      </c>
    </row>
    <row r="32" customFormat="false" ht="15" hidden="false" customHeight="false" outlineLevel="0" collapsed="false">
      <c r="A32" s="3" t="n">
        <v>30</v>
      </c>
      <c r="B32" s="4" t="n">
        <v>43394.7916666667</v>
      </c>
      <c r="C32" s="4" t="n">
        <v>43397.0416666667</v>
      </c>
      <c r="D32" s="3" t="n">
        <v>54</v>
      </c>
      <c r="E32" s="5" t="n">
        <v>6413.56</v>
      </c>
      <c r="F32" s="5" t="n">
        <v>6460.66</v>
      </c>
      <c r="G32" s="3" t="s">
        <v>21</v>
      </c>
      <c r="H32" s="5" t="n">
        <f aca="false">E32-F32</f>
        <v>-47.0999999999995</v>
      </c>
      <c r="I32" s="6" t="n">
        <f aca="false">MAX(Fees!$B$6,Fees!$B$5*Fees!$B$4*E32)+MAX(Fees!$B$6,Fees!$B$5*Fees!$B$4*F32)</f>
        <v>0.3</v>
      </c>
      <c r="J32" s="6" t="n">
        <f aca="false">2*Fees!$B$8</f>
        <v>0.3</v>
      </c>
      <c r="K32" s="6" t="n">
        <f aca="false">2*Fees!$B$10</f>
        <v>5</v>
      </c>
      <c r="L32" s="5" t="n">
        <f aca="false">I32*Fees!$B$3/Fees!$B$4</f>
        <v>30</v>
      </c>
      <c r="M32" s="5" t="n">
        <f aca="false">J32*Fees!$B$3/Fees!$B$7</f>
        <v>30</v>
      </c>
      <c r="N32" s="5" t="n">
        <f aca="false">K32*Fees!$B$3/Fees!$B$9</f>
        <v>50</v>
      </c>
      <c r="O32" s="5" t="n">
        <f aca="false">2*Fees!$B$11*Fees!$B$3</f>
        <v>20</v>
      </c>
      <c r="P32" s="5" t="n">
        <f aca="false">H32*Fees!$B$3-L32-O32</f>
        <v>-97.0999999999995</v>
      </c>
      <c r="Q32" s="5" t="n">
        <f aca="false">H32*Fees!$B$3-M32-O32</f>
        <v>-97.0999999999995</v>
      </c>
      <c r="R32" s="5" t="n">
        <f aca="false">H32*Fees!$B$3-N32-O32</f>
        <v>-117.099999999999</v>
      </c>
    </row>
    <row r="33" customFormat="false" ht="15" hidden="false" customHeight="false" outlineLevel="0" collapsed="false">
      <c r="A33" s="3" t="n">
        <v>31</v>
      </c>
      <c r="B33" s="4" t="n">
        <v>43434.25</v>
      </c>
      <c r="C33" s="4" t="n">
        <v>43435.25</v>
      </c>
      <c r="D33" s="3" t="n">
        <v>24</v>
      </c>
      <c r="E33" s="5" t="n">
        <v>4023.02</v>
      </c>
      <c r="F33" s="5" t="n">
        <v>4115.43</v>
      </c>
      <c r="G33" s="3" t="s">
        <v>20</v>
      </c>
      <c r="H33" s="5" t="n">
        <f aca="false">E33-F33</f>
        <v>-92.4100000000003</v>
      </c>
      <c r="I33" s="6" t="n">
        <f aca="false">MAX(Fees!$B$6,Fees!$B$5*Fees!$B$4*E33)+MAX(Fees!$B$6,Fees!$B$5*Fees!$B$4*F33)</f>
        <v>0.3</v>
      </c>
      <c r="J33" s="6" t="n">
        <f aca="false">2*Fees!$B$8</f>
        <v>0.3</v>
      </c>
      <c r="K33" s="6" t="n">
        <f aca="false">2*Fees!$B$10</f>
        <v>5</v>
      </c>
      <c r="L33" s="5" t="n">
        <f aca="false">I33*Fees!$B$3/Fees!$B$4</f>
        <v>30</v>
      </c>
      <c r="M33" s="5" t="n">
        <f aca="false">J33*Fees!$B$3/Fees!$B$7</f>
        <v>30</v>
      </c>
      <c r="N33" s="5" t="n">
        <f aca="false">K33*Fees!$B$3/Fees!$B$9</f>
        <v>50</v>
      </c>
      <c r="O33" s="5" t="n">
        <f aca="false">2*Fees!$B$11*Fees!$B$3</f>
        <v>20</v>
      </c>
      <c r="P33" s="5" t="n">
        <f aca="false">H33*Fees!$B$3-L33-O33</f>
        <v>-142.41</v>
      </c>
      <c r="Q33" s="5" t="n">
        <f aca="false">H33*Fees!$B$3-M33-O33</f>
        <v>-142.41</v>
      </c>
      <c r="R33" s="5" t="n">
        <f aca="false">H33*Fees!$B$3-N33-O33</f>
        <v>-162.41</v>
      </c>
    </row>
    <row r="34" customFormat="false" ht="15" hidden="false" customHeight="false" outlineLevel="0" collapsed="false">
      <c r="A34" s="3" t="n">
        <v>32</v>
      </c>
      <c r="B34" s="4" t="n">
        <v>43436.4166666667</v>
      </c>
      <c r="C34" s="4" t="n">
        <v>43436.6666666667</v>
      </c>
      <c r="D34" s="3" t="n">
        <v>6</v>
      </c>
      <c r="E34" s="5" t="n">
        <v>4116.11</v>
      </c>
      <c r="F34" s="5" t="n">
        <v>4157.23</v>
      </c>
      <c r="G34" s="3" t="s">
        <v>19</v>
      </c>
      <c r="H34" s="5" t="n">
        <f aca="false">E34-F34</f>
        <v>-41.1199999999999</v>
      </c>
      <c r="I34" s="6" t="n">
        <f aca="false">MAX(Fees!$B$6,Fees!$B$5*Fees!$B$4*E34)+MAX(Fees!$B$6,Fees!$B$5*Fees!$B$4*F34)</f>
        <v>0.3</v>
      </c>
      <c r="J34" s="6" t="n">
        <f aca="false">2*Fees!$B$8</f>
        <v>0.3</v>
      </c>
      <c r="K34" s="6" t="n">
        <f aca="false">2*Fees!$B$10</f>
        <v>5</v>
      </c>
      <c r="L34" s="5" t="n">
        <f aca="false">I34*Fees!$B$3/Fees!$B$4</f>
        <v>30</v>
      </c>
      <c r="M34" s="5" t="n">
        <f aca="false">J34*Fees!$B$3/Fees!$B$7</f>
        <v>30</v>
      </c>
      <c r="N34" s="5" t="n">
        <f aca="false">K34*Fees!$B$3/Fees!$B$9</f>
        <v>50</v>
      </c>
      <c r="O34" s="5" t="n">
        <f aca="false">2*Fees!$B$11*Fees!$B$3</f>
        <v>20</v>
      </c>
      <c r="P34" s="5" t="n">
        <f aca="false">H34*Fees!$B$3-L34-O34</f>
        <v>-91.1199999999999</v>
      </c>
      <c r="Q34" s="5" t="n">
        <f aca="false">H34*Fees!$B$3-M34-O34</f>
        <v>-91.1199999999999</v>
      </c>
      <c r="R34" s="5" t="n">
        <f aca="false">H34*Fees!$B$3-N34-O34</f>
        <v>-111.12</v>
      </c>
    </row>
    <row r="35" customFormat="false" ht="15" hidden="false" customHeight="false" outlineLevel="0" collapsed="false">
      <c r="A35" s="3" t="n">
        <v>33</v>
      </c>
      <c r="B35" s="4" t="n">
        <v>43468.5416666667</v>
      </c>
      <c r="C35" s="4" t="n">
        <v>43469.8333333333</v>
      </c>
      <c r="D35" s="3" t="n">
        <v>31</v>
      </c>
      <c r="E35" s="5" t="n">
        <v>3781.65</v>
      </c>
      <c r="F35" s="5" t="n">
        <v>3866.89</v>
      </c>
      <c r="G35" s="3" t="s">
        <v>21</v>
      </c>
      <c r="H35" s="5" t="n">
        <f aca="false">E35-F35</f>
        <v>-85.2399999999998</v>
      </c>
      <c r="I35" s="6" t="n">
        <f aca="false">MAX(Fees!$B$6,Fees!$B$5*Fees!$B$4*E35)+MAX(Fees!$B$6,Fees!$B$5*Fees!$B$4*F35)</f>
        <v>0.3</v>
      </c>
      <c r="J35" s="6" t="n">
        <f aca="false">2*Fees!$B$8</f>
        <v>0.3</v>
      </c>
      <c r="K35" s="6" t="n">
        <f aca="false">2*Fees!$B$10</f>
        <v>5</v>
      </c>
      <c r="L35" s="5" t="n">
        <f aca="false">I35*Fees!$B$3/Fees!$B$4</f>
        <v>30</v>
      </c>
      <c r="M35" s="5" t="n">
        <f aca="false">J35*Fees!$B$3/Fees!$B$7</f>
        <v>30</v>
      </c>
      <c r="N35" s="5" t="n">
        <f aca="false">K35*Fees!$B$3/Fees!$B$9</f>
        <v>50</v>
      </c>
      <c r="O35" s="5" t="n">
        <f aca="false">2*Fees!$B$11*Fees!$B$3</f>
        <v>20</v>
      </c>
      <c r="P35" s="5" t="n">
        <f aca="false">H35*Fees!$B$3-L35-O35</f>
        <v>-135.24</v>
      </c>
      <c r="Q35" s="5" t="n">
        <f aca="false">H35*Fees!$B$3-M35-O35</f>
        <v>-135.24</v>
      </c>
      <c r="R35" s="5" t="n">
        <f aca="false">H35*Fees!$B$3-N35-O35</f>
        <v>-155.24</v>
      </c>
    </row>
    <row r="36" customFormat="false" ht="15" hidden="false" customHeight="false" outlineLevel="0" collapsed="false">
      <c r="A36" s="3" t="n">
        <v>34</v>
      </c>
      <c r="B36" s="4" t="n">
        <v>43480.6666666667</v>
      </c>
      <c r="C36" s="4" t="n">
        <v>43484.25</v>
      </c>
      <c r="D36" s="3" t="n">
        <v>86</v>
      </c>
      <c r="E36" s="5" t="n">
        <v>3557.18</v>
      </c>
      <c r="F36" s="5" t="n">
        <v>3677.18</v>
      </c>
      <c r="G36" s="3" t="s">
        <v>21</v>
      </c>
      <c r="H36" s="5" t="n">
        <f aca="false">E36-F36</f>
        <v>-120</v>
      </c>
      <c r="I36" s="6" t="n">
        <f aca="false">MAX(Fees!$B$6,Fees!$B$5*Fees!$B$4*E36)+MAX(Fees!$B$6,Fees!$B$5*Fees!$B$4*F36)</f>
        <v>0.3</v>
      </c>
      <c r="J36" s="6" t="n">
        <f aca="false">2*Fees!$B$8</f>
        <v>0.3</v>
      </c>
      <c r="K36" s="6" t="n">
        <f aca="false">2*Fees!$B$10</f>
        <v>5</v>
      </c>
      <c r="L36" s="5" t="n">
        <f aca="false">I36*Fees!$B$3/Fees!$B$4</f>
        <v>30</v>
      </c>
      <c r="M36" s="5" t="n">
        <f aca="false">J36*Fees!$B$3/Fees!$B$7</f>
        <v>30</v>
      </c>
      <c r="N36" s="5" t="n">
        <f aca="false">K36*Fees!$B$3/Fees!$B$9</f>
        <v>50</v>
      </c>
      <c r="O36" s="5" t="n">
        <f aca="false">2*Fees!$B$11*Fees!$B$3</f>
        <v>20</v>
      </c>
      <c r="P36" s="5" t="n">
        <f aca="false">H36*Fees!$B$3-L36-O36</f>
        <v>-170</v>
      </c>
      <c r="Q36" s="5" t="n">
        <f aca="false">H36*Fees!$B$3-M36-O36</f>
        <v>-170</v>
      </c>
      <c r="R36" s="5" t="n">
        <f aca="false">H36*Fees!$B$3-N36-O36</f>
        <v>-190</v>
      </c>
    </row>
    <row r="37" customFormat="false" ht="15" hidden="false" customHeight="false" outlineLevel="0" collapsed="false">
      <c r="A37" s="3" t="n">
        <v>35</v>
      </c>
      <c r="B37" s="4" t="n">
        <v>43496.875</v>
      </c>
      <c r="C37" s="4" t="n">
        <v>43497.25</v>
      </c>
      <c r="D37" s="3" t="n">
        <v>9</v>
      </c>
      <c r="E37" s="5" t="n">
        <v>3387.2</v>
      </c>
      <c r="F37" s="5" t="n">
        <v>3404.99</v>
      </c>
      <c r="G37" s="3" t="s">
        <v>19</v>
      </c>
      <c r="H37" s="5" t="n">
        <f aca="false">E37-F37</f>
        <v>-17.79</v>
      </c>
      <c r="I37" s="6" t="n">
        <f aca="false">MAX(Fees!$B$6,Fees!$B$5*Fees!$B$4*E37)+MAX(Fees!$B$6,Fees!$B$5*Fees!$B$4*F37)</f>
        <v>0.3</v>
      </c>
      <c r="J37" s="6" t="n">
        <f aca="false">2*Fees!$B$8</f>
        <v>0.3</v>
      </c>
      <c r="K37" s="6" t="n">
        <f aca="false">2*Fees!$B$10</f>
        <v>5</v>
      </c>
      <c r="L37" s="5" t="n">
        <f aca="false">I37*Fees!$B$3/Fees!$B$4</f>
        <v>30</v>
      </c>
      <c r="M37" s="5" t="n">
        <f aca="false">J37*Fees!$B$3/Fees!$B$7</f>
        <v>30</v>
      </c>
      <c r="N37" s="5" t="n">
        <f aca="false">K37*Fees!$B$3/Fees!$B$9</f>
        <v>50</v>
      </c>
      <c r="O37" s="5" t="n">
        <f aca="false">2*Fees!$B$11*Fees!$B$3</f>
        <v>20</v>
      </c>
      <c r="P37" s="5" t="n">
        <f aca="false">H37*Fees!$B$3-L37-O37</f>
        <v>-67.79</v>
      </c>
      <c r="Q37" s="5" t="n">
        <f aca="false">H37*Fees!$B$3-M37-O37</f>
        <v>-67.79</v>
      </c>
      <c r="R37" s="5" t="n">
        <f aca="false">H37*Fees!$B$3-N37-O37</f>
        <v>-87.79</v>
      </c>
    </row>
    <row r="38" customFormat="false" ht="15" hidden="false" customHeight="false" outlineLevel="0" collapsed="false">
      <c r="A38" s="3" t="n">
        <v>36</v>
      </c>
      <c r="B38" s="4" t="n">
        <v>43499.7083333333</v>
      </c>
      <c r="C38" s="4" t="n">
        <v>43499.875</v>
      </c>
      <c r="D38" s="3" t="n">
        <v>4</v>
      </c>
      <c r="E38" s="5" t="n">
        <v>3394.6</v>
      </c>
      <c r="F38" s="5" t="n">
        <v>3422.1</v>
      </c>
      <c r="G38" s="3" t="s">
        <v>19</v>
      </c>
      <c r="H38" s="5" t="n">
        <f aca="false">E38-F38</f>
        <v>-27.5</v>
      </c>
      <c r="I38" s="6" t="n">
        <f aca="false">MAX(Fees!$B$6,Fees!$B$5*Fees!$B$4*E38)+MAX(Fees!$B$6,Fees!$B$5*Fees!$B$4*F38)</f>
        <v>0.3</v>
      </c>
      <c r="J38" s="6" t="n">
        <f aca="false">2*Fees!$B$8</f>
        <v>0.3</v>
      </c>
      <c r="K38" s="6" t="n">
        <f aca="false">2*Fees!$B$10</f>
        <v>5</v>
      </c>
      <c r="L38" s="5" t="n">
        <f aca="false">I38*Fees!$B$3/Fees!$B$4</f>
        <v>30</v>
      </c>
      <c r="M38" s="5" t="n">
        <f aca="false">J38*Fees!$B$3/Fees!$B$7</f>
        <v>30</v>
      </c>
      <c r="N38" s="5" t="n">
        <f aca="false">K38*Fees!$B$3/Fees!$B$9</f>
        <v>50</v>
      </c>
      <c r="O38" s="5" t="n">
        <f aca="false">2*Fees!$B$11*Fees!$B$3</f>
        <v>20</v>
      </c>
      <c r="P38" s="5" t="n">
        <f aca="false">H38*Fees!$B$3-L38-O38</f>
        <v>-77.5</v>
      </c>
      <c r="Q38" s="5" t="n">
        <f aca="false">H38*Fees!$B$3-M38-O38</f>
        <v>-77.5</v>
      </c>
      <c r="R38" s="5" t="n">
        <f aca="false">H38*Fees!$B$3-N38-O38</f>
        <v>-97.5</v>
      </c>
    </row>
    <row r="39" customFormat="false" ht="15" hidden="false" customHeight="false" outlineLevel="0" collapsed="false">
      <c r="A39" s="3" t="n">
        <v>37</v>
      </c>
      <c r="B39" s="4" t="n">
        <v>43694.5833333333</v>
      </c>
      <c r="C39" s="4" t="n">
        <v>43695.2916666667</v>
      </c>
      <c r="D39" s="3" t="n">
        <v>17</v>
      </c>
      <c r="E39" s="5" t="n">
        <v>10070.65</v>
      </c>
      <c r="F39" s="5" t="n">
        <v>10363.7</v>
      </c>
      <c r="G39" s="3" t="s">
        <v>20</v>
      </c>
      <c r="H39" s="5" t="n">
        <f aca="false">E39-F39</f>
        <v>-293.050000000001</v>
      </c>
      <c r="I39" s="6" t="n">
        <f aca="false">MAX(Fees!$B$6,Fees!$B$5*Fees!$B$4*E39)+MAX(Fees!$B$6,Fees!$B$5*Fees!$B$4*F39)</f>
        <v>0.3</v>
      </c>
      <c r="J39" s="6" t="n">
        <f aca="false">2*Fees!$B$8</f>
        <v>0.3</v>
      </c>
      <c r="K39" s="6" t="n">
        <f aca="false">2*Fees!$B$10</f>
        <v>5</v>
      </c>
      <c r="L39" s="5" t="n">
        <f aca="false">I39*Fees!$B$3/Fees!$B$4</f>
        <v>30</v>
      </c>
      <c r="M39" s="5" t="n">
        <f aca="false">J39*Fees!$B$3/Fees!$B$7</f>
        <v>30</v>
      </c>
      <c r="N39" s="5" t="n">
        <f aca="false">K39*Fees!$B$3/Fees!$B$9</f>
        <v>50</v>
      </c>
      <c r="O39" s="5" t="n">
        <f aca="false">2*Fees!$B$11*Fees!$B$3</f>
        <v>20</v>
      </c>
      <c r="P39" s="5" t="n">
        <f aca="false">H39*Fees!$B$3-L39-O39</f>
        <v>-343.050000000001</v>
      </c>
      <c r="Q39" s="5" t="n">
        <f aca="false">H39*Fees!$B$3-M39-O39</f>
        <v>-343.050000000001</v>
      </c>
      <c r="R39" s="5" t="n">
        <f aca="false">H39*Fees!$B$3-N39-O39</f>
        <v>-363.050000000001</v>
      </c>
    </row>
    <row r="40" customFormat="false" ht="15" hidden="false" customHeight="false" outlineLevel="0" collapsed="false">
      <c r="A40" s="3" t="n">
        <v>38</v>
      </c>
      <c r="B40" s="4" t="n">
        <v>43698.8333333333</v>
      </c>
      <c r="C40" s="4" t="n">
        <v>43699.625</v>
      </c>
      <c r="D40" s="3" t="n">
        <v>19</v>
      </c>
      <c r="E40" s="5" t="n">
        <v>10134.75</v>
      </c>
      <c r="F40" s="5" t="n">
        <v>10182.89</v>
      </c>
      <c r="G40" s="3" t="s">
        <v>20</v>
      </c>
      <c r="H40" s="5" t="n">
        <f aca="false">E40-F40</f>
        <v>-48.1399999999994</v>
      </c>
      <c r="I40" s="6" t="n">
        <f aca="false">MAX(Fees!$B$6,Fees!$B$5*Fees!$B$4*E40)+MAX(Fees!$B$6,Fees!$B$5*Fees!$B$4*F40)</f>
        <v>0.3</v>
      </c>
      <c r="J40" s="6" t="n">
        <f aca="false">2*Fees!$B$8</f>
        <v>0.3</v>
      </c>
      <c r="K40" s="6" t="n">
        <f aca="false">2*Fees!$B$10</f>
        <v>5</v>
      </c>
      <c r="L40" s="5" t="n">
        <f aca="false">I40*Fees!$B$3/Fees!$B$4</f>
        <v>30</v>
      </c>
      <c r="M40" s="5" t="n">
        <f aca="false">J40*Fees!$B$3/Fees!$B$7</f>
        <v>30</v>
      </c>
      <c r="N40" s="5" t="n">
        <f aca="false">K40*Fees!$B$3/Fees!$B$9</f>
        <v>50</v>
      </c>
      <c r="O40" s="5" t="n">
        <f aca="false">2*Fees!$B$11*Fees!$B$3</f>
        <v>20</v>
      </c>
      <c r="P40" s="5" t="n">
        <f aca="false">H40*Fees!$B$3-L40-O40</f>
        <v>-98.1399999999994</v>
      </c>
      <c r="Q40" s="5" t="n">
        <f aca="false">H40*Fees!$B$3-M40-O40</f>
        <v>-98.1399999999994</v>
      </c>
      <c r="R40" s="5" t="n">
        <f aca="false">H40*Fees!$B$3-N40-O40</f>
        <v>-118.139999999999</v>
      </c>
    </row>
    <row r="41" customFormat="false" ht="15" hidden="false" customHeight="false" outlineLevel="0" collapsed="false">
      <c r="A41" s="3" t="n">
        <v>39</v>
      </c>
      <c r="B41" s="4" t="n">
        <v>43708.7083333333</v>
      </c>
      <c r="C41" s="4" t="n">
        <v>43708.7916666667</v>
      </c>
      <c r="D41" s="3" t="n">
        <v>2</v>
      </c>
      <c r="E41" s="5" t="n">
        <v>9487.91</v>
      </c>
      <c r="F41" s="5" t="n">
        <v>9671.57</v>
      </c>
      <c r="G41" s="3" t="s">
        <v>21</v>
      </c>
      <c r="H41" s="5" t="n">
        <f aca="false">E41-F41</f>
        <v>-183.66</v>
      </c>
      <c r="I41" s="6" t="n">
        <f aca="false">MAX(Fees!$B$6,Fees!$B$5*Fees!$B$4*E41)+MAX(Fees!$B$6,Fees!$B$5*Fees!$B$4*F41)</f>
        <v>0.3</v>
      </c>
      <c r="J41" s="6" t="n">
        <f aca="false">2*Fees!$B$8</f>
        <v>0.3</v>
      </c>
      <c r="K41" s="6" t="n">
        <f aca="false">2*Fees!$B$10</f>
        <v>5</v>
      </c>
      <c r="L41" s="5" t="n">
        <f aca="false">I41*Fees!$B$3/Fees!$B$4</f>
        <v>30</v>
      </c>
      <c r="M41" s="5" t="n">
        <f aca="false">J41*Fees!$B$3/Fees!$B$7</f>
        <v>30</v>
      </c>
      <c r="N41" s="5" t="n">
        <f aca="false">K41*Fees!$B$3/Fees!$B$9</f>
        <v>50</v>
      </c>
      <c r="O41" s="5" t="n">
        <f aca="false">2*Fees!$B$11*Fees!$B$3</f>
        <v>20</v>
      </c>
      <c r="P41" s="5" t="n">
        <f aca="false">H41*Fees!$B$3-L41-O41</f>
        <v>-233.66</v>
      </c>
      <c r="Q41" s="5" t="n">
        <f aca="false">H41*Fees!$B$3-M41-O41</f>
        <v>-233.66</v>
      </c>
      <c r="R41" s="5" t="n">
        <f aca="false">H41*Fees!$B$3-N41-O41</f>
        <v>-253.66</v>
      </c>
    </row>
    <row r="42" customFormat="false" ht="15" hidden="false" customHeight="false" outlineLevel="0" collapsed="false">
      <c r="A42" s="3" t="n">
        <v>40</v>
      </c>
      <c r="B42" s="4" t="n">
        <v>43753.7083333333</v>
      </c>
      <c r="C42" s="4" t="n">
        <v>43755.25</v>
      </c>
      <c r="D42" s="3" t="n">
        <v>37</v>
      </c>
      <c r="E42" s="5" t="n">
        <v>8138.97</v>
      </c>
      <c r="F42" s="5" t="n">
        <v>8052.66</v>
      </c>
      <c r="G42" s="3" t="s">
        <v>20</v>
      </c>
      <c r="H42" s="5" t="n">
        <f aca="false">E42-F42</f>
        <v>86.3100000000004</v>
      </c>
      <c r="I42" s="6" t="n">
        <f aca="false">MAX(Fees!$B$6,Fees!$B$5*Fees!$B$4*E42)+MAX(Fees!$B$6,Fees!$B$5*Fees!$B$4*F42)</f>
        <v>0.3</v>
      </c>
      <c r="J42" s="6" t="n">
        <f aca="false">2*Fees!$B$8</f>
        <v>0.3</v>
      </c>
      <c r="K42" s="6" t="n">
        <f aca="false">2*Fees!$B$10</f>
        <v>5</v>
      </c>
      <c r="L42" s="5" t="n">
        <f aca="false">I42*Fees!$B$3/Fees!$B$4</f>
        <v>30</v>
      </c>
      <c r="M42" s="5" t="n">
        <f aca="false">J42*Fees!$B$3/Fees!$B$7</f>
        <v>30</v>
      </c>
      <c r="N42" s="5" t="n">
        <f aca="false">K42*Fees!$B$3/Fees!$B$9</f>
        <v>50</v>
      </c>
      <c r="O42" s="5" t="n">
        <f aca="false">2*Fees!$B$11*Fees!$B$3</f>
        <v>20</v>
      </c>
      <c r="P42" s="5" t="n">
        <f aca="false">H42*Fees!$B$3-L42-O42</f>
        <v>36.3100000000004</v>
      </c>
      <c r="Q42" s="5" t="n">
        <f aca="false">H42*Fees!$B$3-M42-O42</f>
        <v>36.3100000000004</v>
      </c>
      <c r="R42" s="5" t="n">
        <f aca="false">H42*Fees!$B$3-N42-O42</f>
        <v>16.3100000000004</v>
      </c>
    </row>
    <row r="43" customFormat="false" ht="15" hidden="false" customHeight="false" outlineLevel="0" collapsed="false">
      <c r="A43" s="3" t="n">
        <v>41</v>
      </c>
      <c r="B43" s="4" t="n">
        <v>43759.5</v>
      </c>
      <c r="C43" s="4" t="n">
        <v>43760.2083333333</v>
      </c>
      <c r="D43" s="3" t="n">
        <v>17</v>
      </c>
      <c r="E43" s="5" t="n">
        <v>8194.04</v>
      </c>
      <c r="F43" s="5" t="n">
        <v>8267.49</v>
      </c>
      <c r="G43" s="3" t="s">
        <v>19</v>
      </c>
      <c r="H43" s="5" t="n">
        <f aca="false">E43-F43</f>
        <v>-73.4499999999989</v>
      </c>
      <c r="I43" s="6" t="n">
        <f aca="false">MAX(Fees!$B$6,Fees!$B$5*Fees!$B$4*E43)+MAX(Fees!$B$6,Fees!$B$5*Fees!$B$4*F43)</f>
        <v>0.3</v>
      </c>
      <c r="J43" s="6" t="n">
        <f aca="false">2*Fees!$B$8</f>
        <v>0.3</v>
      </c>
      <c r="K43" s="6" t="n">
        <f aca="false">2*Fees!$B$10</f>
        <v>5</v>
      </c>
      <c r="L43" s="5" t="n">
        <f aca="false">I43*Fees!$B$3/Fees!$B$4</f>
        <v>30</v>
      </c>
      <c r="M43" s="5" t="n">
        <f aca="false">J43*Fees!$B$3/Fees!$B$7</f>
        <v>30</v>
      </c>
      <c r="N43" s="5" t="n">
        <f aca="false">K43*Fees!$B$3/Fees!$B$9</f>
        <v>50</v>
      </c>
      <c r="O43" s="5" t="n">
        <f aca="false">2*Fees!$B$11*Fees!$B$3</f>
        <v>20</v>
      </c>
      <c r="P43" s="5" t="n">
        <f aca="false">H43*Fees!$B$3-L43-O43</f>
        <v>-123.449999999999</v>
      </c>
      <c r="Q43" s="5" t="n">
        <f aca="false">H43*Fees!$B$3-M43-O43</f>
        <v>-123.449999999999</v>
      </c>
      <c r="R43" s="5" t="n">
        <f aca="false">H43*Fees!$B$3-N43-O43</f>
        <v>-143.449999999999</v>
      </c>
    </row>
    <row r="44" customFormat="false" ht="15" hidden="false" customHeight="false" outlineLevel="0" collapsed="false">
      <c r="A44" s="3" t="n">
        <v>42</v>
      </c>
      <c r="B44" s="4" t="n">
        <v>43780.7916666667</v>
      </c>
      <c r="C44" s="4" t="n">
        <v>43797.4583333333</v>
      </c>
      <c r="D44" s="3" t="n">
        <v>400</v>
      </c>
      <c r="E44" s="5" t="n">
        <v>8720.36</v>
      </c>
      <c r="F44" s="5" t="n">
        <v>7618.84</v>
      </c>
      <c r="G44" s="3" t="s">
        <v>20</v>
      </c>
      <c r="H44" s="5" t="n">
        <f aca="false">E44-F44</f>
        <v>1101.52</v>
      </c>
      <c r="I44" s="6" t="n">
        <f aca="false">MAX(Fees!$B$6,Fees!$B$5*Fees!$B$4*E44)+MAX(Fees!$B$6,Fees!$B$5*Fees!$B$4*F44)</f>
        <v>0.3</v>
      </c>
      <c r="J44" s="6" t="n">
        <f aca="false">2*Fees!$B$8</f>
        <v>0.3</v>
      </c>
      <c r="K44" s="6" t="n">
        <f aca="false">2*Fees!$B$10</f>
        <v>5</v>
      </c>
      <c r="L44" s="5" t="n">
        <f aca="false">I44*Fees!$B$3/Fees!$B$4</f>
        <v>30</v>
      </c>
      <c r="M44" s="5" t="n">
        <f aca="false">J44*Fees!$B$3/Fees!$B$7</f>
        <v>30</v>
      </c>
      <c r="N44" s="5" t="n">
        <f aca="false">K44*Fees!$B$3/Fees!$B$9</f>
        <v>50</v>
      </c>
      <c r="O44" s="5" t="n">
        <f aca="false">2*Fees!$B$11*Fees!$B$3</f>
        <v>20</v>
      </c>
      <c r="P44" s="5" t="n">
        <f aca="false">H44*Fees!$B$3-L44-O44</f>
        <v>1051.52</v>
      </c>
      <c r="Q44" s="5" t="n">
        <f aca="false">H44*Fees!$B$3-M44-O44</f>
        <v>1051.52</v>
      </c>
      <c r="R44" s="5" t="n">
        <f aca="false">H44*Fees!$B$3-N44-O44</f>
        <v>1031.52</v>
      </c>
    </row>
    <row r="45" customFormat="false" ht="15" hidden="false" customHeight="false" outlineLevel="0" collapsed="false">
      <c r="A45" s="3" t="n">
        <v>43</v>
      </c>
      <c r="B45" s="4" t="n">
        <v>43799.2916666667</v>
      </c>
      <c r="C45" s="4" t="n">
        <v>43812.4583333333</v>
      </c>
      <c r="D45" s="3" t="n">
        <v>316</v>
      </c>
      <c r="E45" s="5" t="n">
        <v>7660.11</v>
      </c>
      <c r="F45" s="5" t="n">
        <v>7250.63</v>
      </c>
      <c r="G45" s="3" t="s">
        <v>20</v>
      </c>
      <c r="H45" s="5" t="n">
        <f aca="false">E45-F45</f>
        <v>409.48</v>
      </c>
      <c r="I45" s="6" t="n">
        <f aca="false">MAX(Fees!$B$6,Fees!$B$5*Fees!$B$4*E45)+MAX(Fees!$B$6,Fees!$B$5*Fees!$B$4*F45)</f>
        <v>0.3</v>
      </c>
      <c r="J45" s="6" t="n">
        <f aca="false">2*Fees!$B$8</f>
        <v>0.3</v>
      </c>
      <c r="K45" s="6" t="n">
        <f aca="false">2*Fees!$B$10</f>
        <v>5</v>
      </c>
      <c r="L45" s="5" t="n">
        <f aca="false">I45*Fees!$B$3/Fees!$B$4</f>
        <v>30</v>
      </c>
      <c r="M45" s="5" t="n">
        <f aca="false">J45*Fees!$B$3/Fees!$B$7</f>
        <v>30</v>
      </c>
      <c r="N45" s="5" t="n">
        <f aca="false">K45*Fees!$B$3/Fees!$B$9</f>
        <v>50</v>
      </c>
      <c r="O45" s="5" t="n">
        <f aca="false">2*Fees!$B$11*Fees!$B$3</f>
        <v>20</v>
      </c>
      <c r="P45" s="5" t="n">
        <f aca="false">H45*Fees!$B$3-L45-O45</f>
        <v>359.48</v>
      </c>
      <c r="Q45" s="5" t="n">
        <f aca="false">H45*Fees!$B$3-M45-O45</f>
        <v>359.48</v>
      </c>
      <c r="R45" s="5" t="n">
        <f aca="false">H45*Fees!$B$3-N45-O45</f>
        <v>339.48</v>
      </c>
    </row>
    <row r="46" customFormat="false" ht="15" hidden="false" customHeight="false" outlineLevel="0" collapsed="false">
      <c r="A46" s="3" t="n">
        <v>44</v>
      </c>
      <c r="B46" s="4" t="n">
        <v>43813.25</v>
      </c>
      <c r="C46" s="4" t="n">
        <v>43817.75</v>
      </c>
      <c r="D46" s="3" t="n">
        <v>108</v>
      </c>
      <c r="E46" s="5" t="n">
        <v>7185.53</v>
      </c>
      <c r="F46" s="5" t="n">
        <v>7277.78</v>
      </c>
      <c r="G46" s="3" t="s">
        <v>21</v>
      </c>
      <c r="H46" s="5" t="n">
        <f aca="false">E46-F46</f>
        <v>-92.25</v>
      </c>
      <c r="I46" s="6" t="n">
        <f aca="false">MAX(Fees!$B$6,Fees!$B$5*Fees!$B$4*E46)+MAX(Fees!$B$6,Fees!$B$5*Fees!$B$4*F46)</f>
        <v>0.3</v>
      </c>
      <c r="J46" s="6" t="n">
        <f aca="false">2*Fees!$B$8</f>
        <v>0.3</v>
      </c>
      <c r="K46" s="6" t="n">
        <f aca="false">2*Fees!$B$10</f>
        <v>5</v>
      </c>
      <c r="L46" s="5" t="n">
        <f aca="false">I46*Fees!$B$3/Fees!$B$4</f>
        <v>30</v>
      </c>
      <c r="M46" s="5" t="n">
        <f aca="false">J46*Fees!$B$3/Fees!$B$7</f>
        <v>30</v>
      </c>
      <c r="N46" s="5" t="n">
        <f aca="false">K46*Fees!$B$3/Fees!$B$9</f>
        <v>50</v>
      </c>
      <c r="O46" s="5" t="n">
        <f aca="false">2*Fees!$B$11*Fees!$B$3</f>
        <v>20</v>
      </c>
      <c r="P46" s="5" t="n">
        <f aca="false">H46*Fees!$B$3-L46-O46</f>
        <v>-142.25</v>
      </c>
      <c r="Q46" s="5" t="n">
        <f aca="false">H46*Fees!$B$3-M46-O46</f>
        <v>-142.25</v>
      </c>
      <c r="R46" s="5" t="n">
        <f aca="false">H46*Fees!$B$3-N46-O46</f>
        <v>-162.25</v>
      </c>
    </row>
    <row r="47" customFormat="false" ht="15" hidden="false" customHeight="false" outlineLevel="0" collapsed="false">
      <c r="A47" s="3" t="n">
        <v>45</v>
      </c>
      <c r="B47" s="4" t="n">
        <v>43824.2916666667</v>
      </c>
      <c r="C47" s="4" t="n">
        <v>43824.625</v>
      </c>
      <c r="D47" s="3" t="n">
        <v>8</v>
      </c>
      <c r="E47" s="5" t="n">
        <v>7204.22</v>
      </c>
      <c r="F47" s="5" t="n">
        <v>7232.66</v>
      </c>
      <c r="G47" s="3" t="s">
        <v>19</v>
      </c>
      <c r="H47" s="5" t="n">
        <f aca="false">E47-F47</f>
        <v>-28.4399999999996</v>
      </c>
      <c r="I47" s="6" t="n">
        <f aca="false">MAX(Fees!$B$6,Fees!$B$5*Fees!$B$4*E47)+MAX(Fees!$B$6,Fees!$B$5*Fees!$B$4*F47)</f>
        <v>0.3</v>
      </c>
      <c r="J47" s="6" t="n">
        <f aca="false">2*Fees!$B$8</f>
        <v>0.3</v>
      </c>
      <c r="K47" s="6" t="n">
        <f aca="false">2*Fees!$B$10</f>
        <v>5</v>
      </c>
      <c r="L47" s="5" t="n">
        <f aca="false">I47*Fees!$B$3/Fees!$B$4</f>
        <v>30</v>
      </c>
      <c r="M47" s="5" t="n">
        <f aca="false">J47*Fees!$B$3/Fees!$B$7</f>
        <v>30</v>
      </c>
      <c r="N47" s="5" t="n">
        <f aca="false">K47*Fees!$B$3/Fees!$B$9</f>
        <v>50</v>
      </c>
      <c r="O47" s="5" t="n">
        <f aca="false">2*Fees!$B$11*Fees!$B$3</f>
        <v>20</v>
      </c>
      <c r="P47" s="5" t="n">
        <f aca="false">H47*Fees!$B$3-L47-O47</f>
        <v>-78.4399999999996</v>
      </c>
      <c r="Q47" s="5" t="n">
        <f aca="false">H47*Fees!$B$3-M47-O47</f>
        <v>-78.4399999999996</v>
      </c>
      <c r="R47" s="5" t="n">
        <f aca="false">H47*Fees!$B$3-N47-O47</f>
        <v>-98.4399999999996</v>
      </c>
    </row>
    <row r="48" customFormat="false" ht="15" hidden="false" customHeight="false" outlineLevel="0" collapsed="false">
      <c r="A48" s="3" t="n">
        <v>46</v>
      </c>
      <c r="B48" s="4" t="n">
        <v>43829.3333333333</v>
      </c>
      <c r="C48" s="4" t="n">
        <v>43831.5</v>
      </c>
      <c r="D48" s="3" t="n">
        <v>52</v>
      </c>
      <c r="E48" s="5" t="n">
        <v>7281.52</v>
      </c>
      <c r="F48" s="5" t="n">
        <v>7224.31</v>
      </c>
      <c r="G48" s="3" t="s">
        <v>20</v>
      </c>
      <c r="H48" s="5" t="n">
        <f aca="false">E48-F48</f>
        <v>57.21</v>
      </c>
      <c r="I48" s="6" t="n">
        <f aca="false">MAX(Fees!$B$6,Fees!$B$5*Fees!$B$4*E48)+MAX(Fees!$B$6,Fees!$B$5*Fees!$B$4*F48)</f>
        <v>0.3</v>
      </c>
      <c r="J48" s="6" t="n">
        <f aca="false">2*Fees!$B$8</f>
        <v>0.3</v>
      </c>
      <c r="K48" s="6" t="n">
        <f aca="false">2*Fees!$B$10</f>
        <v>5</v>
      </c>
      <c r="L48" s="5" t="n">
        <f aca="false">I48*Fees!$B$3/Fees!$B$4</f>
        <v>30</v>
      </c>
      <c r="M48" s="5" t="n">
        <f aca="false">J48*Fees!$B$3/Fees!$B$7</f>
        <v>30</v>
      </c>
      <c r="N48" s="5" t="n">
        <f aca="false">K48*Fees!$B$3/Fees!$B$9</f>
        <v>50</v>
      </c>
      <c r="O48" s="5" t="n">
        <f aca="false">2*Fees!$B$11*Fees!$B$3</f>
        <v>20</v>
      </c>
      <c r="P48" s="5" t="n">
        <f aca="false">H48*Fees!$B$3-L48-O48</f>
        <v>7.21000000000004</v>
      </c>
      <c r="Q48" s="5" t="n">
        <f aca="false">H48*Fees!$B$3-M48-O48</f>
        <v>7.21000000000004</v>
      </c>
      <c r="R48" s="5" t="n">
        <f aca="false">H48*Fees!$B$3-N48-O48</f>
        <v>-12.79</v>
      </c>
    </row>
    <row r="49" customFormat="false" ht="15" hidden="false" customHeight="false" outlineLevel="0" collapsed="false">
      <c r="A49" s="3" t="n">
        <v>47</v>
      </c>
      <c r="B49" s="4" t="n">
        <v>43835.7083333333</v>
      </c>
      <c r="C49" s="4" t="n">
        <v>43835.9166666667</v>
      </c>
      <c r="D49" s="3" t="n">
        <v>5</v>
      </c>
      <c r="E49" s="5" t="n">
        <v>7361.76</v>
      </c>
      <c r="F49" s="5" t="n">
        <v>7495.19</v>
      </c>
      <c r="G49" s="3" t="s">
        <v>21</v>
      </c>
      <c r="H49" s="5" t="n">
        <f aca="false">E49-F49</f>
        <v>-133.429999999999</v>
      </c>
      <c r="I49" s="6" t="n">
        <f aca="false">MAX(Fees!$B$6,Fees!$B$5*Fees!$B$4*E49)+MAX(Fees!$B$6,Fees!$B$5*Fees!$B$4*F49)</f>
        <v>0.3</v>
      </c>
      <c r="J49" s="6" t="n">
        <f aca="false">2*Fees!$B$8</f>
        <v>0.3</v>
      </c>
      <c r="K49" s="6" t="n">
        <f aca="false">2*Fees!$B$10</f>
        <v>5</v>
      </c>
      <c r="L49" s="5" t="n">
        <f aca="false">I49*Fees!$B$3/Fees!$B$4</f>
        <v>30</v>
      </c>
      <c r="M49" s="5" t="n">
        <f aca="false">J49*Fees!$B$3/Fees!$B$7</f>
        <v>30</v>
      </c>
      <c r="N49" s="5" t="n">
        <f aca="false">K49*Fees!$B$3/Fees!$B$9</f>
        <v>50</v>
      </c>
      <c r="O49" s="5" t="n">
        <f aca="false">2*Fees!$B$11*Fees!$B$3</f>
        <v>20</v>
      </c>
      <c r="P49" s="5" t="n">
        <f aca="false">H49*Fees!$B$3-L49-O49</f>
        <v>-183.429999999999</v>
      </c>
      <c r="Q49" s="5" t="n">
        <f aca="false">H49*Fees!$B$3-M49-O49</f>
        <v>-183.429999999999</v>
      </c>
      <c r="R49" s="5" t="n">
        <f aca="false">H49*Fees!$B$3-N49-O49</f>
        <v>-203.429999999999</v>
      </c>
    </row>
    <row r="50" customFormat="false" ht="15" hidden="false" customHeight="false" outlineLevel="0" collapsed="false">
      <c r="A50" s="3" t="n">
        <v>48</v>
      </c>
      <c r="B50" s="4" t="n">
        <v>43893.5416666667</v>
      </c>
      <c r="C50" s="4" t="n">
        <v>43893.875</v>
      </c>
      <c r="D50" s="3" t="n">
        <v>8</v>
      </c>
      <c r="E50" s="5" t="n">
        <v>8720.35</v>
      </c>
      <c r="F50" s="5" t="n">
        <v>8786.53</v>
      </c>
      <c r="G50" s="3" t="s">
        <v>19</v>
      </c>
      <c r="H50" s="5" t="n">
        <f aca="false">E50-F50</f>
        <v>-66.1800000000003</v>
      </c>
      <c r="I50" s="6" t="n">
        <f aca="false">MAX(Fees!$B$6,Fees!$B$5*Fees!$B$4*E50)+MAX(Fees!$B$6,Fees!$B$5*Fees!$B$4*F50)</f>
        <v>0.3</v>
      </c>
      <c r="J50" s="6" t="n">
        <f aca="false">2*Fees!$B$8</f>
        <v>0.3</v>
      </c>
      <c r="K50" s="6" t="n">
        <f aca="false">2*Fees!$B$10</f>
        <v>5</v>
      </c>
      <c r="L50" s="5" t="n">
        <f aca="false">I50*Fees!$B$3/Fees!$B$4</f>
        <v>30</v>
      </c>
      <c r="M50" s="5" t="n">
        <f aca="false">J50*Fees!$B$3/Fees!$B$7</f>
        <v>30</v>
      </c>
      <c r="N50" s="5" t="n">
        <f aca="false">K50*Fees!$B$3/Fees!$B$9</f>
        <v>50</v>
      </c>
      <c r="O50" s="5" t="n">
        <f aca="false">2*Fees!$B$11*Fees!$B$3</f>
        <v>20</v>
      </c>
      <c r="P50" s="5" t="n">
        <f aca="false">H50*Fees!$B$3-L50-O50</f>
        <v>-116.18</v>
      </c>
      <c r="Q50" s="5" t="n">
        <f aca="false">H50*Fees!$B$3-M50-O50</f>
        <v>-116.18</v>
      </c>
      <c r="R50" s="5" t="n">
        <f aca="false">H50*Fees!$B$3-N50-O50</f>
        <v>-136.18</v>
      </c>
    </row>
    <row r="51" customFormat="false" ht="15" hidden="false" customHeight="false" outlineLevel="0" collapsed="false">
      <c r="A51" s="3" t="n">
        <v>49</v>
      </c>
      <c r="B51" s="4" t="n">
        <v>43897.7916666667</v>
      </c>
      <c r="C51" s="4" t="n">
        <v>43906.9166666667</v>
      </c>
      <c r="D51" s="3" t="n">
        <v>218</v>
      </c>
      <c r="E51" s="5" t="n">
        <v>8893.93</v>
      </c>
      <c r="F51" s="5" t="n">
        <v>5205.88</v>
      </c>
      <c r="G51" s="3" t="s">
        <v>20</v>
      </c>
      <c r="H51" s="5" t="n">
        <f aca="false">E51-F51</f>
        <v>3688.05</v>
      </c>
      <c r="I51" s="6" t="n">
        <f aca="false">MAX(Fees!$B$6,Fees!$B$5*Fees!$B$4*E51)+MAX(Fees!$B$6,Fees!$B$5*Fees!$B$4*F51)</f>
        <v>0.3</v>
      </c>
      <c r="J51" s="6" t="n">
        <f aca="false">2*Fees!$B$8</f>
        <v>0.3</v>
      </c>
      <c r="K51" s="6" t="n">
        <f aca="false">2*Fees!$B$10</f>
        <v>5</v>
      </c>
      <c r="L51" s="5" t="n">
        <f aca="false">I51*Fees!$B$3/Fees!$B$4</f>
        <v>30</v>
      </c>
      <c r="M51" s="5" t="n">
        <f aca="false">J51*Fees!$B$3/Fees!$B$7</f>
        <v>30</v>
      </c>
      <c r="N51" s="5" t="n">
        <f aca="false">K51*Fees!$B$3/Fees!$B$9</f>
        <v>50</v>
      </c>
      <c r="O51" s="5" t="n">
        <f aca="false">2*Fees!$B$11*Fees!$B$3</f>
        <v>20</v>
      </c>
      <c r="P51" s="5" t="n">
        <f aca="false">H51*Fees!$B$3-L51-O51</f>
        <v>3638.05</v>
      </c>
      <c r="Q51" s="5" t="n">
        <f aca="false">H51*Fees!$B$3-M51-O51</f>
        <v>3638.05</v>
      </c>
      <c r="R51" s="5" t="n">
        <f aca="false">H51*Fees!$B$3-N51-O51</f>
        <v>3618.05</v>
      </c>
    </row>
    <row r="52" customFormat="false" ht="15" hidden="false" customHeight="false" outlineLevel="0" collapsed="false">
      <c r="A52" s="3" t="n">
        <v>50</v>
      </c>
      <c r="B52" s="4" t="n">
        <v>43936.2916666667</v>
      </c>
      <c r="C52" s="4" t="n">
        <v>43937.1666666667</v>
      </c>
      <c r="D52" s="3" t="n">
        <v>21</v>
      </c>
      <c r="E52" s="5" t="n">
        <v>6792.27</v>
      </c>
      <c r="F52" s="5" t="n">
        <v>6954.61</v>
      </c>
      <c r="G52" s="3" t="s">
        <v>21</v>
      </c>
      <c r="H52" s="5" t="n">
        <f aca="false">E52-F52</f>
        <v>-162.339999999999</v>
      </c>
      <c r="I52" s="6" t="n">
        <f aca="false">MAX(Fees!$B$6,Fees!$B$5*Fees!$B$4*E52)+MAX(Fees!$B$6,Fees!$B$5*Fees!$B$4*F52)</f>
        <v>0.3</v>
      </c>
      <c r="J52" s="6" t="n">
        <f aca="false">2*Fees!$B$8</f>
        <v>0.3</v>
      </c>
      <c r="K52" s="6" t="n">
        <f aca="false">2*Fees!$B$10</f>
        <v>5</v>
      </c>
      <c r="L52" s="5" t="n">
        <f aca="false">I52*Fees!$B$3/Fees!$B$4</f>
        <v>30</v>
      </c>
      <c r="M52" s="5" t="n">
        <f aca="false">J52*Fees!$B$3/Fees!$B$7</f>
        <v>30</v>
      </c>
      <c r="N52" s="5" t="n">
        <f aca="false">K52*Fees!$B$3/Fees!$B$9</f>
        <v>50</v>
      </c>
      <c r="O52" s="5" t="n">
        <f aca="false">2*Fees!$B$11*Fees!$B$3</f>
        <v>20</v>
      </c>
      <c r="P52" s="5" t="n">
        <f aca="false">H52*Fees!$B$3-L52-O52</f>
        <v>-212.339999999999</v>
      </c>
      <c r="Q52" s="5" t="n">
        <f aca="false">H52*Fees!$B$3-M52-O52</f>
        <v>-212.339999999999</v>
      </c>
      <c r="R52" s="5" t="n">
        <f aca="false">H52*Fees!$B$3-N52-O52</f>
        <v>-232.339999999999</v>
      </c>
    </row>
    <row r="53" customFormat="false" ht="15" hidden="false" customHeight="false" outlineLevel="0" collapsed="false">
      <c r="A53" s="3" t="n">
        <v>51</v>
      </c>
      <c r="B53" s="4" t="n">
        <v>44110.8333333333</v>
      </c>
      <c r="C53" s="4" t="n">
        <v>44112.4166666667</v>
      </c>
      <c r="D53" s="3" t="n">
        <v>38</v>
      </c>
      <c r="E53" s="5" t="n">
        <v>10606.33</v>
      </c>
      <c r="F53" s="5" t="n">
        <v>10734.77</v>
      </c>
      <c r="G53" s="3" t="s">
        <v>19</v>
      </c>
      <c r="H53" s="5" t="n">
        <f aca="false">E53-F53</f>
        <v>-128.440000000001</v>
      </c>
      <c r="I53" s="6" t="n">
        <f aca="false">MAX(Fees!$B$6,Fees!$B$5*Fees!$B$4*E53)+MAX(Fees!$B$6,Fees!$B$5*Fees!$B$4*F53)</f>
        <v>0.3</v>
      </c>
      <c r="J53" s="6" t="n">
        <f aca="false">2*Fees!$B$8</f>
        <v>0.3</v>
      </c>
      <c r="K53" s="6" t="n">
        <f aca="false">2*Fees!$B$10</f>
        <v>5</v>
      </c>
      <c r="L53" s="5" t="n">
        <f aca="false">I53*Fees!$B$3/Fees!$B$4</f>
        <v>30</v>
      </c>
      <c r="M53" s="5" t="n">
        <f aca="false">J53*Fees!$B$3/Fees!$B$7</f>
        <v>30</v>
      </c>
      <c r="N53" s="5" t="n">
        <f aca="false">K53*Fees!$B$3/Fees!$B$9</f>
        <v>50</v>
      </c>
      <c r="O53" s="5" t="n">
        <f aca="false">2*Fees!$B$11*Fees!$B$3</f>
        <v>20</v>
      </c>
      <c r="P53" s="5" t="n">
        <f aca="false">H53*Fees!$B$3-L53-O53</f>
        <v>-178.440000000001</v>
      </c>
      <c r="Q53" s="5" t="n">
        <f aca="false">H53*Fees!$B$3-M53-O53</f>
        <v>-178.440000000001</v>
      </c>
      <c r="R53" s="5" t="n">
        <f aca="false">H53*Fees!$B$3-N53-O53</f>
        <v>-198.440000000001</v>
      </c>
    </row>
    <row r="54" customFormat="false" ht="15" hidden="false" customHeight="false" outlineLevel="0" collapsed="false">
      <c r="A54" s="3" t="n">
        <v>52</v>
      </c>
      <c r="B54" s="4" t="n">
        <v>44351.0833333333</v>
      </c>
      <c r="C54" s="4" t="n">
        <v>44352.0416666667</v>
      </c>
      <c r="D54" s="3" t="n">
        <v>23</v>
      </c>
      <c r="E54" s="5" t="n">
        <v>36744.23</v>
      </c>
      <c r="F54" s="5" t="n">
        <v>37695.64</v>
      </c>
      <c r="G54" s="3" t="s">
        <v>20</v>
      </c>
      <c r="H54" s="5" t="n">
        <f aca="false">E54-F54</f>
        <v>-951.409999999996</v>
      </c>
      <c r="I54" s="6" t="n">
        <f aca="false">MAX(Fees!$B$6,Fees!$B$5*Fees!$B$4*E54)+MAX(Fees!$B$6,Fees!$B$5*Fees!$B$4*F54)</f>
        <v>0.3</v>
      </c>
      <c r="J54" s="6" t="n">
        <f aca="false">2*Fees!$B$8</f>
        <v>0.3</v>
      </c>
      <c r="K54" s="6" t="n">
        <f aca="false">2*Fees!$B$10</f>
        <v>5</v>
      </c>
      <c r="L54" s="5" t="n">
        <f aca="false">I54*Fees!$B$3/Fees!$B$4</f>
        <v>30</v>
      </c>
      <c r="M54" s="5" t="n">
        <f aca="false">J54*Fees!$B$3/Fees!$B$7</f>
        <v>30</v>
      </c>
      <c r="N54" s="5" t="n">
        <f aca="false">K54*Fees!$B$3/Fees!$B$9</f>
        <v>50</v>
      </c>
      <c r="O54" s="5" t="n">
        <f aca="false">2*Fees!$B$11*Fees!$B$3</f>
        <v>20</v>
      </c>
      <c r="P54" s="5" t="n">
        <f aca="false">H54*Fees!$B$3-L54-O54</f>
        <v>-1001.41</v>
      </c>
      <c r="Q54" s="5" t="n">
        <f aca="false">H54*Fees!$B$3-M54-O54</f>
        <v>-1001.41</v>
      </c>
      <c r="R54" s="5" t="n">
        <f aca="false">H54*Fees!$B$3-N54-O54</f>
        <v>-1021.41</v>
      </c>
    </row>
    <row r="55" customFormat="false" ht="15" hidden="false" customHeight="false" outlineLevel="0" collapsed="false">
      <c r="A55" s="3" t="n">
        <v>53</v>
      </c>
      <c r="B55" s="4" t="n">
        <v>44355.4583333333</v>
      </c>
      <c r="C55" s="4" t="n">
        <v>44355.5833333333</v>
      </c>
      <c r="D55" s="3" t="n">
        <v>3</v>
      </c>
      <c r="E55" s="5" t="n">
        <v>31779.82</v>
      </c>
      <c r="F55" s="5" t="n">
        <v>32196.28</v>
      </c>
      <c r="G55" s="3" t="s">
        <v>19</v>
      </c>
      <c r="H55" s="5" t="n">
        <f aca="false">E55-F55</f>
        <v>-416.459999999999</v>
      </c>
      <c r="I55" s="6" t="n">
        <f aca="false">MAX(Fees!$B$6,Fees!$B$5*Fees!$B$4*E55)+MAX(Fees!$B$6,Fees!$B$5*Fees!$B$4*F55)</f>
        <v>0.3</v>
      </c>
      <c r="J55" s="6" t="n">
        <f aca="false">2*Fees!$B$8</f>
        <v>0.3</v>
      </c>
      <c r="K55" s="6" t="n">
        <f aca="false">2*Fees!$B$10</f>
        <v>5</v>
      </c>
      <c r="L55" s="5" t="n">
        <f aca="false">I55*Fees!$B$3/Fees!$B$4</f>
        <v>30</v>
      </c>
      <c r="M55" s="5" t="n">
        <f aca="false">J55*Fees!$B$3/Fees!$B$7</f>
        <v>30</v>
      </c>
      <c r="N55" s="5" t="n">
        <f aca="false">K55*Fees!$B$3/Fees!$B$9</f>
        <v>50</v>
      </c>
      <c r="O55" s="5" t="n">
        <f aca="false">2*Fees!$B$11*Fees!$B$3</f>
        <v>20</v>
      </c>
      <c r="P55" s="5" t="n">
        <f aca="false">H55*Fees!$B$3-L55-O55</f>
        <v>-466.459999999999</v>
      </c>
      <c r="Q55" s="5" t="n">
        <f aca="false">H55*Fees!$B$3-M55-O55</f>
        <v>-466.459999999999</v>
      </c>
      <c r="R55" s="5" t="n">
        <f aca="false">H55*Fees!$B$3-N55-O55</f>
        <v>-486.459999999999</v>
      </c>
    </row>
    <row r="56" customFormat="false" ht="15" hidden="false" customHeight="false" outlineLevel="0" collapsed="false">
      <c r="A56" s="3" t="n">
        <v>54</v>
      </c>
      <c r="B56" s="4" t="n">
        <v>44358.9583333333</v>
      </c>
      <c r="C56" s="4" t="n">
        <v>44359.4166666667</v>
      </c>
      <c r="D56" s="3" t="n">
        <v>11</v>
      </c>
      <c r="E56" s="5" t="n">
        <v>35571.17</v>
      </c>
      <c r="F56" s="5" t="n">
        <v>36010.86</v>
      </c>
      <c r="G56" s="3" t="s">
        <v>19</v>
      </c>
      <c r="H56" s="5" t="n">
        <f aca="false">E56-F56</f>
        <v>-439.690000000002</v>
      </c>
      <c r="I56" s="6" t="n">
        <f aca="false">MAX(Fees!$B$6,Fees!$B$5*Fees!$B$4*E56)+MAX(Fees!$B$6,Fees!$B$5*Fees!$B$4*F56)</f>
        <v>0.3</v>
      </c>
      <c r="J56" s="6" t="n">
        <f aca="false">2*Fees!$B$8</f>
        <v>0.3</v>
      </c>
      <c r="K56" s="6" t="n">
        <f aca="false">2*Fees!$B$10</f>
        <v>5</v>
      </c>
      <c r="L56" s="5" t="n">
        <f aca="false">I56*Fees!$B$3/Fees!$B$4</f>
        <v>30</v>
      </c>
      <c r="M56" s="5" t="n">
        <f aca="false">J56*Fees!$B$3/Fees!$B$7</f>
        <v>30</v>
      </c>
      <c r="N56" s="5" t="n">
        <f aca="false">K56*Fees!$B$3/Fees!$B$9</f>
        <v>50</v>
      </c>
      <c r="O56" s="5" t="n">
        <f aca="false">2*Fees!$B$11*Fees!$B$3</f>
        <v>20</v>
      </c>
      <c r="P56" s="5" t="n">
        <f aca="false">H56*Fees!$B$3-L56-O56</f>
        <v>-489.690000000002</v>
      </c>
      <c r="Q56" s="5" t="n">
        <f aca="false">H56*Fees!$B$3-M56-O56</f>
        <v>-489.690000000002</v>
      </c>
      <c r="R56" s="5" t="n">
        <f aca="false">H56*Fees!$B$3-N56-O56</f>
        <v>-509.690000000002</v>
      </c>
    </row>
    <row r="57" customFormat="false" ht="15" hidden="false" customHeight="false" outlineLevel="0" collapsed="false">
      <c r="A57" s="3" t="n">
        <v>55</v>
      </c>
      <c r="B57" s="4" t="n">
        <v>44363.3333333333</v>
      </c>
      <c r="C57" s="4" t="n">
        <v>44370.0833333333</v>
      </c>
      <c r="D57" s="3" t="n">
        <v>162</v>
      </c>
      <c r="E57" s="5" t="n">
        <v>39094.97</v>
      </c>
      <c r="F57" s="5" t="n">
        <v>34347.14</v>
      </c>
      <c r="G57" s="3" t="s">
        <v>20</v>
      </c>
      <c r="H57" s="5" t="n">
        <f aca="false">E57-F57</f>
        <v>4747.83</v>
      </c>
      <c r="I57" s="6" t="n">
        <f aca="false">MAX(Fees!$B$6,Fees!$B$5*Fees!$B$4*E57)+MAX(Fees!$B$6,Fees!$B$5*Fees!$B$4*F57)</f>
        <v>0.3</v>
      </c>
      <c r="J57" s="6" t="n">
        <f aca="false">2*Fees!$B$8</f>
        <v>0.3</v>
      </c>
      <c r="K57" s="6" t="n">
        <f aca="false">2*Fees!$B$10</f>
        <v>5</v>
      </c>
      <c r="L57" s="5" t="n">
        <f aca="false">I57*Fees!$B$3/Fees!$B$4</f>
        <v>30</v>
      </c>
      <c r="M57" s="5" t="n">
        <f aca="false">J57*Fees!$B$3/Fees!$B$7</f>
        <v>30</v>
      </c>
      <c r="N57" s="5" t="n">
        <f aca="false">K57*Fees!$B$3/Fees!$B$9</f>
        <v>50</v>
      </c>
      <c r="O57" s="5" t="n">
        <f aca="false">2*Fees!$B$11*Fees!$B$3</f>
        <v>20</v>
      </c>
      <c r="P57" s="5" t="n">
        <f aca="false">H57*Fees!$B$3-L57-O57</f>
        <v>4697.83</v>
      </c>
      <c r="Q57" s="5" t="n">
        <f aca="false">H57*Fees!$B$3-M57-O57</f>
        <v>4697.83</v>
      </c>
      <c r="R57" s="5" t="n">
        <f aca="false">H57*Fees!$B$3-N57-O57</f>
        <v>4677.83</v>
      </c>
    </row>
    <row r="58" customFormat="false" ht="15" hidden="false" customHeight="false" outlineLevel="0" collapsed="false">
      <c r="A58" s="3" t="n">
        <v>56</v>
      </c>
      <c r="B58" s="4" t="n">
        <v>44373.2916666667</v>
      </c>
      <c r="C58" s="4" t="n">
        <v>44373.3333333333</v>
      </c>
      <c r="D58" s="3" t="n">
        <v>1</v>
      </c>
      <c r="E58" s="5" t="n">
        <v>31109.19</v>
      </c>
      <c r="F58" s="5" t="n">
        <v>31786.27</v>
      </c>
      <c r="G58" s="3" t="s">
        <v>19</v>
      </c>
      <c r="H58" s="5" t="n">
        <f aca="false">E58-F58</f>
        <v>-677.080000000002</v>
      </c>
      <c r="I58" s="6" t="n">
        <f aca="false">MAX(Fees!$B$6,Fees!$B$5*Fees!$B$4*E58)+MAX(Fees!$B$6,Fees!$B$5*Fees!$B$4*F58)</f>
        <v>0.3</v>
      </c>
      <c r="J58" s="6" t="n">
        <f aca="false">2*Fees!$B$8</f>
        <v>0.3</v>
      </c>
      <c r="K58" s="6" t="n">
        <f aca="false">2*Fees!$B$10</f>
        <v>5</v>
      </c>
      <c r="L58" s="5" t="n">
        <f aca="false">I58*Fees!$B$3/Fees!$B$4</f>
        <v>30</v>
      </c>
      <c r="M58" s="5" t="n">
        <f aca="false">J58*Fees!$B$3/Fees!$B$7</f>
        <v>30</v>
      </c>
      <c r="N58" s="5" t="n">
        <f aca="false">K58*Fees!$B$3/Fees!$B$9</f>
        <v>50</v>
      </c>
      <c r="O58" s="5" t="n">
        <f aca="false">2*Fees!$B$11*Fees!$B$3</f>
        <v>20</v>
      </c>
      <c r="P58" s="5" t="n">
        <f aca="false">H58*Fees!$B$3-L58-O58</f>
        <v>-727.080000000002</v>
      </c>
      <c r="Q58" s="5" t="n">
        <f aca="false">H58*Fees!$B$3-M58-O58</f>
        <v>-727.080000000002</v>
      </c>
      <c r="R58" s="5" t="n">
        <f aca="false">H58*Fees!$B$3-N58-O58</f>
        <v>-747.080000000002</v>
      </c>
    </row>
    <row r="59" customFormat="false" ht="15" hidden="false" customHeight="false" outlineLevel="0" collapsed="false">
      <c r="A59" s="3" t="n">
        <v>57</v>
      </c>
      <c r="B59" s="4" t="n">
        <v>44378.125</v>
      </c>
      <c r="C59" s="4" t="n">
        <v>44380.1666666667</v>
      </c>
      <c r="D59" s="3" t="n">
        <v>49</v>
      </c>
      <c r="E59" s="5" t="n">
        <v>33551.61</v>
      </c>
      <c r="F59" s="5" t="n">
        <v>34512.05</v>
      </c>
      <c r="G59" s="3" t="s">
        <v>20</v>
      </c>
      <c r="H59" s="5" t="n">
        <f aca="false">E59-F59</f>
        <v>-960.440000000002</v>
      </c>
      <c r="I59" s="6" t="n">
        <f aca="false">MAX(Fees!$B$6,Fees!$B$5*Fees!$B$4*E59)+MAX(Fees!$B$6,Fees!$B$5*Fees!$B$4*F59)</f>
        <v>0.3</v>
      </c>
      <c r="J59" s="6" t="n">
        <f aca="false">2*Fees!$B$8</f>
        <v>0.3</v>
      </c>
      <c r="K59" s="6" t="n">
        <f aca="false">2*Fees!$B$10</f>
        <v>5</v>
      </c>
      <c r="L59" s="5" t="n">
        <f aca="false">I59*Fees!$B$3/Fees!$B$4</f>
        <v>30</v>
      </c>
      <c r="M59" s="5" t="n">
        <f aca="false">J59*Fees!$B$3/Fees!$B$7</f>
        <v>30</v>
      </c>
      <c r="N59" s="5" t="n">
        <f aca="false">K59*Fees!$B$3/Fees!$B$9</f>
        <v>50</v>
      </c>
      <c r="O59" s="5" t="n">
        <f aca="false">2*Fees!$B$11*Fees!$B$3</f>
        <v>20</v>
      </c>
      <c r="P59" s="5" t="n">
        <f aca="false">H59*Fees!$B$3-L59-O59</f>
        <v>-1010.44</v>
      </c>
      <c r="Q59" s="5" t="n">
        <f aca="false">H59*Fees!$B$3-M59-O59</f>
        <v>-1010.44</v>
      </c>
      <c r="R59" s="5" t="n">
        <f aca="false">H59*Fees!$B$3-N59-O59</f>
        <v>-1030.44</v>
      </c>
    </row>
    <row r="60" customFormat="false" ht="15" hidden="false" customHeight="false" outlineLevel="0" collapsed="false">
      <c r="A60" s="3" t="n">
        <v>58</v>
      </c>
      <c r="B60" s="4" t="n">
        <v>44382.5</v>
      </c>
      <c r="C60" s="4" t="n">
        <v>44382.6666666667</v>
      </c>
      <c r="D60" s="3" t="n">
        <v>4</v>
      </c>
      <c r="E60" s="5" t="n">
        <v>33600</v>
      </c>
      <c r="F60" s="5" t="n">
        <v>34136.51</v>
      </c>
      <c r="G60" s="3" t="s">
        <v>19</v>
      </c>
      <c r="H60" s="5" t="n">
        <f aca="false">E60-F60</f>
        <v>-536.510000000002</v>
      </c>
      <c r="I60" s="6" t="n">
        <f aca="false">MAX(Fees!$B$6,Fees!$B$5*Fees!$B$4*E60)+MAX(Fees!$B$6,Fees!$B$5*Fees!$B$4*F60)</f>
        <v>0.3</v>
      </c>
      <c r="J60" s="6" t="n">
        <f aca="false">2*Fees!$B$8</f>
        <v>0.3</v>
      </c>
      <c r="K60" s="6" t="n">
        <f aca="false">2*Fees!$B$10</f>
        <v>5</v>
      </c>
      <c r="L60" s="5" t="n">
        <f aca="false">I60*Fees!$B$3/Fees!$B$4</f>
        <v>30</v>
      </c>
      <c r="M60" s="5" t="n">
        <f aca="false">J60*Fees!$B$3/Fees!$B$7</f>
        <v>30</v>
      </c>
      <c r="N60" s="5" t="n">
        <f aca="false">K60*Fees!$B$3/Fees!$B$9</f>
        <v>50</v>
      </c>
      <c r="O60" s="5" t="n">
        <f aca="false">2*Fees!$B$11*Fees!$B$3</f>
        <v>20</v>
      </c>
      <c r="P60" s="5" t="n">
        <f aca="false">H60*Fees!$B$3-L60-O60</f>
        <v>-586.510000000002</v>
      </c>
      <c r="Q60" s="5" t="n">
        <f aca="false">H60*Fees!$B$3-M60-O60</f>
        <v>-586.510000000002</v>
      </c>
      <c r="R60" s="5" t="n">
        <f aca="false">H60*Fees!$B$3-N60-O60</f>
        <v>-606.510000000002</v>
      </c>
    </row>
    <row r="61" customFormat="false" ht="15" hidden="false" customHeight="false" outlineLevel="0" collapsed="false">
      <c r="A61" s="3" t="n">
        <v>59</v>
      </c>
      <c r="B61" s="4" t="n">
        <v>44390.625</v>
      </c>
      <c r="C61" s="4" t="n">
        <v>44390.8333333333</v>
      </c>
      <c r="D61" s="3" t="n">
        <v>5</v>
      </c>
      <c r="E61" s="5" t="n">
        <v>32482.9</v>
      </c>
      <c r="F61" s="5" t="n">
        <v>32728</v>
      </c>
      <c r="G61" s="3" t="s">
        <v>19</v>
      </c>
      <c r="H61" s="5" t="n">
        <f aca="false">E61-F61</f>
        <v>-245.099999999999</v>
      </c>
      <c r="I61" s="6" t="n">
        <f aca="false">MAX(Fees!$B$6,Fees!$B$5*Fees!$B$4*E61)+MAX(Fees!$B$6,Fees!$B$5*Fees!$B$4*F61)</f>
        <v>0.3</v>
      </c>
      <c r="J61" s="6" t="n">
        <f aca="false">2*Fees!$B$8</f>
        <v>0.3</v>
      </c>
      <c r="K61" s="6" t="n">
        <f aca="false">2*Fees!$B$10</f>
        <v>5</v>
      </c>
      <c r="L61" s="5" t="n">
        <f aca="false">I61*Fees!$B$3/Fees!$B$4</f>
        <v>30</v>
      </c>
      <c r="M61" s="5" t="n">
        <f aca="false">J61*Fees!$B$3/Fees!$B$7</f>
        <v>30</v>
      </c>
      <c r="N61" s="5" t="n">
        <f aca="false">K61*Fees!$B$3/Fees!$B$9</f>
        <v>50</v>
      </c>
      <c r="O61" s="5" t="n">
        <f aca="false">2*Fees!$B$11*Fees!$B$3</f>
        <v>20</v>
      </c>
      <c r="P61" s="5" t="n">
        <f aca="false">H61*Fees!$B$3-L61-O61</f>
        <v>-295.099999999999</v>
      </c>
      <c r="Q61" s="5" t="n">
        <f aca="false">H61*Fees!$B$3-M61-O61</f>
        <v>-295.099999999999</v>
      </c>
      <c r="R61" s="5" t="n">
        <f aca="false">H61*Fees!$B$3-N61-O61</f>
        <v>-315.099999999999</v>
      </c>
    </row>
    <row r="62" customFormat="false" ht="15" hidden="false" customHeight="false" outlineLevel="0" collapsed="false">
      <c r="A62" s="3" t="n">
        <v>60</v>
      </c>
      <c r="B62" s="4" t="n">
        <v>44393.3333333333</v>
      </c>
      <c r="C62" s="4" t="n">
        <v>44393.4166666667</v>
      </c>
      <c r="D62" s="3" t="n">
        <v>2</v>
      </c>
      <c r="E62" s="5" t="n">
        <v>31088.15</v>
      </c>
      <c r="F62" s="5" t="n">
        <v>31771.78</v>
      </c>
      <c r="G62" s="3" t="s">
        <v>19</v>
      </c>
      <c r="H62" s="5" t="n">
        <f aca="false">E62-F62</f>
        <v>-683.629999999997</v>
      </c>
      <c r="I62" s="6" t="n">
        <f aca="false">MAX(Fees!$B$6,Fees!$B$5*Fees!$B$4*E62)+MAX(Fees!$B$6,Fees!$B$5*Fees!$B$4*F62)</f>
        <v>0.3</v>
      </c>
      <c r="J62" s="6" t="n">
        <f aca="false">2*Fees!$B$8</f>
        <v>0.3</v>
      </c>
      <c r="K62" s="6" t="n">
        <f aca="false">2*Fees!$B$10</f>
        <v>5</v>
      </c>
      <c r="L62" s="5" t="n">
        <f aca="false">I62*Fees!$B$3/Fees!$B$4</f>
        <v>30</v>
      </c>
      <c r="M62" s="5" t="n">
        <f aca="false">J62*Fees!$B$3/Fees!$B$7</f>
        <v>30</v>
      </c>
      <c r="N62" s="5" t="n">
        <f aca="false">K62*Fees!$B$3/Fees!$B$9</f>
        <v>50</v>
      </c>
      <c r="O62" s="5" t="n">
        <f aca="false">2*Fees!$B$11*Fees!$B$3</f>
        <v>20</v>
      </c>
      <c r="P62" s="5" t="n">
        <f aca="false">H62*Fees!$B$3-L62-O62</f>
        <v>-733.629999999997</v>
      </c>
      <c r="Q62" s="5" t="n">
        <f aca="false">H62*Fees!$B$3-M62-O62</f>
        <v>-733.629999999997</v>
      </c>
      <c r="R62" s="5" t="n">
        <f aca="false">H62*Fees!$B$3-N62-O62</f>
        <v>-753.629999999997</v>
      </c>
    </row>
    <row r="63" customFormat="false" ht="15" hidden="false" customHeight="false" outlineLevel="0" collapsed="false">
      <c r="A63" s="3" t="n">
        <v>61</v>
      </c>
      <c r="B63" s="4" t="n">
        <v>44400.625</v>
      </c>
      <c r="C63" s="4" t="n">
        <v>44400.75</v>
      </c>
      <c r="D63" s="3" t="n">
        <v>3</v>
      </c>
      <c r="E63" s="5" t="n">
        <v>32153.99</v>
      </c>
      <c r="F63" s="5" t="n">
        <v>32668.19</v>
      </c>
      <c r="G63" s="3" t="s">
        <v>21</v>
      </c>
      <c r="H63" s="5" t="n">
        <f aca="false">E63-F63</f>
        <v>-514.199999999997</v>
      </c>
      <c r="I63" s="6" t="n">
        <f aca="false">MAX(Fees!$B$6,Fees!$B$5*Fees!$B$4*E63)+MAX(Fees!$B$6,Fees!$B$5*Fees!$B$4*F63)</f>
        <v>0.3</v>
      </c>
      <c r="J63" s="6" t="n">
        <f aca="false">2*Fees!$B$8</f>
        <v>0.3</v>
      </c>
      <c r="K63" s="6" t="n">
        <f aca="false">2*Fees!$B$10</f>
        <v>5</v>
      </c>
      <c r="L63" s="5" t="n">
        <f aca="false">I63*Fees!$B$3/Fees!$B$4</f>
        <v>30</v>
      </c>
      <c r="M63" s="5" t="n">
        <f aca="false">J63*Fees!$B$3/Fees!$B$7</f>
        <v>30</v>
      </c>
      <c r="N63" s="5" t="n">
        <f aca="false">K63*Fees!$B$3/Fees!$B$9</f>
        <v>50</v>
      </c>
      <c r="O63" s="5" t="n">
        <f aca="false">2*Fees!$B$11*Fees!$B$3</f>
        <v>20</v>
      </c>
      <c r="P63" s="5" t="n">
        <f aca="false">H63*Fees!$B$3-L63-O63</f>
        <v>-564.199999999997</v>
      </c>
      <c r="Q63" s="5" t="n">
        <f aca="false">H63*Fees!$B$3-M63-O63</f>
        <v>-564.199999999997</v>
      </c>
      <c r="R63" s="5" t="n">
        <f aca="false">H63*Fees!$B$3-N63-O63</f>
        <v>-584.199999999997</v>
      </c>
    </row>
    <row r="64" customFormat="false" ht="15" hidden="false" customHeight="false" outlineLevel="0" collapsed="false">
      <c r="A64" s="3" t="n">
        <v>62</v>
      </c>
      <c r="B64" s="4" t="n">
        <v>44467</v>
      </c>
      <c r="C64" s="4" t="n">
        <v>44468.9166666667</v>
      </c>
      <c r="D64" s="3" t="n">
        <v>46</v>
      </c>
      <c r="E64" s="5" t="n">
        <v>42562.42</v>
      </c>
      <c r="F64" s="5" t="n">
        <v>42987.19</v>
      </c>
      <c r="G64" s="3" t="s">
        <v>20</v>
      </c>
      <c r="H64" s="5" t="n">
        <f aca="false">E64-F64</f>
        <v>-424.770000000004</v>
      </c>
      <c r="I64" s="6" t="n">
        <f aca="false">MAX(Fees!$B$6,Fees!$B$5*Fees!$B$4*E64)+MAX(Fees!$B$6,Fees!$B$5*Fees!$B$4*F64)</f>
        <v>0.3</v>
      </c>
      <c r="J64" s="6" t="n">
        <f aca="false">2*Fees!$B$8</f>
        <v>0.3</v>
      </c>
      <c r="K64" s="6" t="n">
        <f aca="false">2*Fees!$B$10</f>
        <v>5</v>
      </c>
      <c r="L64" s="5" t="n">
        <f aca="false">I64*Fees!$B$3/Fees!$B$4</f>
        <v>30</v>
      </c>
      <c r="M64" s="5" t="n">
        <f aca="false">J64*Fees!$B$3/Fees!$B$7</f>
        <v>30</v>
      </c>
      <c r="N64" s="5" t="n">
        <f aca="false">K64*Fees!$B$3/Fees!$B$9</f>
        <v>50</v>
      </c>
      <c r="O64" s="5" t="n">
        <f aca="false">2*Fees!$B$11*Fees!$B$3</f>
        <v>20</v>
      </c>
      <c r="P64" s="5" t="n">
        <f aca="false">H64*Fees!$B$3-L64-O64</f>
        <v>-474.770000000004</v>
      </c>
      <c r="Q64" s="5" t="n">
        <f aca="false">H64*Fees!$B$3-M64-O64</f>
        <v>-474.770000000004</v>
      </c>
      <c r="R64" s="5" t="n">
        <f aca="false">H64*Fees!$B$3-N64-O64</f>
        <v>-494.770000000004</v>
      </c>
    </row>
    <row r="65" customFormat="false" ht="15" hidden="false" customHeight="false" outlineLevel="0" collapsed="false">
      <c r="A65" s="3" t="n">
        <v>63</v>
      </c>
      <c r="B65" s="4" t="n">
        <v>44522.5833333333</v>
      </c>
      <c r="C65" s="4" t="n">
        <v>44522.9166666667</v>
      </c>
      <c r="D65" s="3" t="n">
        <v>8</v>
      </c>
      <c r="E65" s="5" t="n">
        <v>56488.54</v>
      </c>
      <c r="F65" s="5" t="n">
        <v>56939.25</v>
      </c>
      <c r="G65" s="3" t="s">
        <v>19</v>
      </c>
      <c r="H65" s="5" t="n">
        <f aca="false">E65-F65</f>
        <v>-450.709999999999</v>
      </c>
      <c r="I65" s="6" t="n">
        <f aca="false">MAX(Fees!$B$6,Fees!$B$5*Fees!$B$4*E65)+MAX(Fees!$B$6,Fees!$B$5*Fees!$B$4*F65)</f>
        <v>0.3</v>
      </c>
      <c r="J65" s="6" t="n">
        <f aca="false">2*Fees!$B$8</f>
        <v>0.3</v>
      </c>
      <c r="K65" s="6" t="n">
        <f aca="false">2*Fees!$B$10</f>
        <v>5</v>
      </c>
      <c r="L65" s="5" t="n">
        <f aca="false">I65*Fees!$B$3/Fees!$B$4</f>
        <v>30</v>
      </c>
      <c r="M65" s="5" t="n">
        <f aca="false">J65*Fees!$B$3/Fees!$B$7</f>
        <v>30</v>
      </c>
      <c r="N65" s="5" t="n">
        <f aca="false">K65*Fees!$B$3/Fees!$B$9</f>
        <v>50</v>
      </c>
      <c r="O65" s="5" t="n">
        <f aca="false">2*Fees!$B$11*Fees!$B$3</f>
        <v>20</v>
      </c>
      <c r="P65" s="5" t="n">
        <f aca="false">H65*Fees!$B$3-L65-O65</f>
        <v>-500.709999999999</v>
      </c>
      <c r="Q65" s="5" t="n">
        <f aca="false">H65*Fees!$B$3-M65-O65</f>
        <v>-500.709999999999</v>
      </c>
      <c r="R65" s="5" t="n">
        <f aca="false">H65*Fees!$B$3-N65-O65</f>
        <v>-520.709999999999</v>
      </c>
    </row>
    <row r="66" customFormat="false" ht="15" hidden="false" customHeight="false" outlineLevel="0" collapsed="false">
      <c r="A66" s="3" t="n">
        <v>64</v>
      </c>
      <c r="B66" s="4" t="n">
        <v>44526.7916666667</v>
      </c>
      <c r="C66" s="4" t="n">
        <v>44528.6666666667</v>
      </c>
      <c r="D66" s="3" t="n">
        <v>45</v>
      </c>
      <c r="E66" s="5" t="n">
        <v>53789.35</v>
      </c>
      <c r="F66" s="5" t="n">
        <v>54983.55</v>
      </c>
      <c r="G66" s="3" t="s">
        <v>20</v>
      </c>
      <c r="H66" s="5" t="n">
        <f aca="false">E66-F66</f>
        <v>-1194.2</v>
      </c>
      <c r="I66" s="6" t="n">
        <f aca="false">MAX(Fees!$B$6,Fees!$B$5*Fees!$B$4*E66)+MAX(Fees!$B$6,Fees!$B$5*Fees!$B$4*F66)</f>
        <v>0.3</v>
      </c>
      <c r="J66" s="6" t="n">
        <f aca="false">2*Fees!$B$8</f>
        <v>0.3</v>
      </c>
      <c r="K66" s="6" t="n">
        <f aca="false">2*Fees!$B$10</f>
        <v>5</v>
      </c>
      <c r="L66" s="5" t="n">
        <f aca="false">I66*Fees!$B$3/Fees!$B$4</f>
        <v>30</v>
      </c>
      <c r="M66" s="5" t="n">
        <f aca="false">J66*Fees!$B$3/Fees!$B$7</f>
        <v>30</v>
      </c>
      <c r="N66" s="5" t="n">
        <f aca="false">K66*Fees!$B$3/Fees!$B$9</f>
        <v>50</v>
      </c>
      <c r="O66" s="5" t="n">
        <f aca="false">2*Fees!$B$11*Fees!$B$3</f>
        <v>20</v>
      </c>
      <c r="P66" s="5" t="n">
        <f aca="false">H66*Fees!$B$3-L66-O66</f>
        <v>-1244.2</v>
      </c>
      <c r="Q66" s="5" t="n">
        <f aca="false">H66*Fees!$B$3-M66-O66</f>
        <v>-1244.2</v>
      </c>
      <c r="R66" s="5" t="n">
        <f aca="false">H66*Fees!$B$3-N66-O66</f>
        <v>-1264.2</v>
      </c>
    </row>
    <row r="67" customFormat="false" ht="15" hidden="false" customHeight="false" outlineLevel="0" collapsed="false">
      <c r="A67" s="3" t="n">
        <v>65</v>
      </c>
      <c r="B67" s="4" t="n">
        <v>44531.9583333333</v>
      </c>
      <c r="C67" s="4" t="n">
        <v>44532.4166666667</v>
      </c>
      <c r="D67" s="3" t="n">
        <v>11</v>
      </c>
      <c r="E67" s="5" t="n">
        <v>56351.3</v>
      </c>
      <c r="F67" s="5" t="n">
        <v>57132.82</v>
      </c>
      <c r="G67" s="3" t="s">
        <v>19</v>
      </c>
      <c r="H67" s="5" t="n">
        <f aca="false">E67-F67</f>
        <v>-781.519999999997</v>
      </c>
      <c r="I67" s="6" t="n">
        <f aca="false">MAX(Fees!$B$6,Fees!$B$5*Fees!$B$4*E67)+MAX(Fees!$B$6,Fees!$B$5*Fees!$B$4*F67)</f>
        <v>0.3</v>
      </c>
      <c r="J67" s="6" t="n">
        <f aca="false">2*Fees!$B$8</f>
        <v>0.3</v>
      </c>
      <c r="K67" s="6" t="n">
        <f aca="false">2*Fees!$B$10</f>
        <v>5</v>
      </c>
      <c r="L67" s="5" t="n">
        <f aca="false">I67*Fees!$B$3/Fees!$B$4</f>
        <v>30</v>
      </c>
      <c r="M67" s="5" t="n">
        <f aca="false">J67*Fees!$B$3/Fees!$B$7</f>
        <v>30</v>
      </c>
      <c r="N67" s="5" t="n">
        <f aca="false">K67*Fees!$B$3/Fees!$B$9</f>
        <v>50</v>
      </c>
      <c r="O67" s="5" t="n">
        <f aca="false">2*Fees!$B$11*Fees!$B$3</f>
        <v>20</v>
      </c>
      <c r="P67" s="5" t="n">
        <f aca="false">H67*Fees!$B$3-L67-O67</f>
        <v>-831.519999999997</v>
      </c>
      <c r="Q67" s="5" t="n">
        <f aca="false">H67*Fees!$B$3-M67-O67</f>
        <v>-831.519999999997</v>
      </c>
      <c r="R67" s="5" t="n">
        <f aca="false">H67*Fees!$B$3-N67-O67</f>
        <v>-851.519999999997</v>
      </c>
    </row>
    <row r="68" customFormat="false" ht="15" hidden="false" customHeight="false" outlineLevel="0" collapsed="false">
      <c r="A68" s="3" t="n">
        <v>66</v>
      </c>
      <c r="B68" s="4" t="n">
        <v>44546.5</v>
      </c>
      <c r="C68" s="4" t="n">
        <v>44548.9583333333</v>
      </c>
      <c r="D68" s="3" t="n">
        <v>59</v>
      </c>
      <c r="E68" s="5" t="n">
        <v>48511.13</v>
      </c>
      <c r="F68" s="5" t="n">
        <v>47737.51</v>
      </c>
      <c r="G68" s="3" t="s">
        <v>20</v>
      </c>
      <c r="H68" s="5" t="n">
        <f aca="false">E68-F68</f>
        <v>773.619999999995</v>
      </c>
      <c r="I68" s="6" t="n">
        <f aca="false">MAX(Fees!$B$6,Fees!$B$5*Fees!$B$4*E68)+MAX(Fees!$B$6,Fees!$B$5*Fees!$B$4*F68)</f>
        <v>0.3</v>
      </c>
      <c r="J68" s="6" t="n">
        <f aca="false">2*Fees!$B$8</f>
        <v>0.3</v>
      </c>
      <c r="K68" s="6" t="n">
        <f aca="false">2*Fees!$B$10</f>
        <v>5</v>
      </c>
      <c r="L68" s="5" t="n">
        <f aca="false">I68*Fees!$B$3/Fees!$B$4</f>
        <v>30</v>
      </c>
      <c r="M68" s="5" t="n">
        <f aca="false">J68*Fees!$B$3/Fees!$B$7</f>
        <v>30</v>
      </c>
      <c r="N68" s="5" t="n">
        <f aca="false">K68*Fees!$B$3/Fees!$B$9</f>
        <v>50</v>
      </c>
      <c r="O68" s="5" t="n">
        <f aca="false">2*Fees!$B$11*Fees!$B$3</f>
        <v>20</v>
      </c>
      <c r="P68" s="5" t="n">
        <f aca="false">H68*Fees!$B$3-L68-O68</f>
        <v>723.619999999995</v>
      </c>
      <c r="Q68" s="5" t="n">
        <f aca="false">H68*Fees!$B$3-M68-O68</f>
        <v>723.619999999995</v>
      </c>
      <c r="R68" s="5" t="n">
        <f aca="false">H68*Fees!$B$3-N68-O68</f>
        <v>703.619999999995</v>
      </c>
    </row>
    <row r="69" customFormat="false" ht="15" hidden="false" customHeight="false" outlineLevel="0" collapsed="false">
      <c r="A69" s="3" t="n">
        <v>67</v>
      </c>
      <c r="B69" s="4" t="n">
        <v>44549.9583333333</v>
      </c>
      <c r="C69" s="4" t="n">
        <v>44550.9583333333</v>
      </c>
      <c r="D69" s="3" t="n">
        <v>24</v>
      </c>
      <c r="E69" s="5" t="n">
        <v>46697.39</v>
      </c>
      <c r="F69" s="5" t="n">
        <v>47684.23</v>
      </c>
      <c r="G69" s="3" t="s">
        <v>21</v>
      </c>
      <c r="H69" s="5" t="n">
        <f aca="false">E69-F69</f>
        <v>-986.840000000004</v>
      </c>
      <c r="I69" s="6" t="n">
        <f aca="false">MAX(Fees!$B$6,Fees!$B$5*Fees!$B$4*E69)+MAX(Fees!$B$6,Fees!$B$5*Fees!$B$4*F69)</f>
        <v>0.3</v>
      </c>
      <c r="J69" s="6" t="n">
        <f aca="false">2*Fees!$B$8</f>
        <v>0.3</v>
      </c>
      <c r="K69" s="6" t="n">
        <f aca="false">2*Fees!$B$10</f>
        <v>5</v>
      </c>
      <c r="L69" s="5" t="n">
        <f aca="false">I69*Fees!$B$3/Fees!$B$4</f>
        <v>30</v>
      </c>
      <c r="M69" s="5" t="n">
        <f aca="false">J69*Fees!$B$3/Fees!$B$7</f>
        <v>30</v>
      </c>
      <c r="N69" s="5" t="n">
        <f aca="false">K69*Fees!$B$3/Fees!$B$9</f>
        <v>50</v>
      </c>
      <c r="O69" s="5" t="n">
        <f aca="false">2*Fees!$B$11*Fees!$B$3</f>
        <v>20</v>
      </c>
      <c r="P69" s="5" t="n">
        <f aca="false">H69*Fees!$B$3-L69-O69</f>
        <v>-1036.84</v>
      </c>
      <c r="Q69" s="5" t="n">
        <f aca="false">H69*Fees!$B$3-M69-O69</f>
        <v>-1036.84</v>
      </c>
      <c r="R69" s="5" t="n">
        <f aca="false">H69*Fees!$B$3-N69-O69</f>
        <v>-1056.84</v>
      </c>
    </row>
    <row r="70" customFormat="false" ht="15" hidden="false" customHeight="false" outlineLevel="0" collapsed="false">
      <c r="A70" s="3" t="n">
        <v>68</v>
      </c>
      <c r="B70" s="4" t="n">
        <v>44559.3333333333</v>
      </c>
      <c r="C70" s="4" t="n">
        <v>44561.0416666667</v>
      </c>
      <c r="D70" s="3" t="n">
        <v>41</v>
      </c>
      <c r="E70" s="5" t="n">
        <v>46847.07</v>
      </c>
      <c r="F70" s="5" t="n">
        <v>47301.19</v>
      </c>
      <c r="G70" s="3" t="s">
        <v>19</v>
      </c>
      <c r="H70" s="5" t="n">
        <f aca="false">E70-F70</f>
        <v>-454.120000000003</v>
      </c>
      <c r="I70" s="6" t="n">
        <f aca="false">MAX(Fees!$B$6,Fees!$B$5*Fees!$B$4*E70)+MAX(Fees!$B$6,Fees!$B$5*Fees!$B$4*F70)</f>
        <v>0.3</v>
      </c>
      <c r="J70" s="6" t="n">
        <f aca="false">2*Fees!$B$8</f>
        <v>0.3</v>
      </c>
      <c r="K70" s="6" t="n">
        <f aca="false">2*Fees!$B$10</f>
        <v>5</v>
      </c>
      <c r="L70" s="5" t="n">
        <f aca="false">I70*Fees!$B$3/Fees!$B$4</f>
        <v>30</v>
      </c>
      <c r="M70" s="5" t="n">
        <f aca="false">J70*Fees!$B$3/Fees!$B$7</f>
        <v>30</v>
      </c>
      <c r="N70" s="5" t="n">
        <f aca="false">K70*Fees!$B$3/Fees!$B$9</f>
        <v>50</v>
      </c>
      <c r="O70" s="5" t="n">
        <f aca="false">2*Fees!$B$11*Fees!$B$3</f>
        <v>20</v>
      </c>
      <c r="P70" s="5" t="n">
        <f aca="false">H70*Fees!$B$3-L70-O70</f>
        <v>-504.120000000003</v>
      </c>
      <c r="Q70" s="5" t="n">
        <f aca="false">H70*Fees!$B$3-M70-O70</f>
        <v>-504.120000000003</v>
      </c>
      <c r="R70" s="5" t="n">
        <f aca="false">H70*Fees!$B$3-N70-O70</f>
        <v>-524.120000000003</v>
      </c>
    </row>
    <row r="71" customFormat="false" ht="15" hidden="false" customHeight="false" outlineLevel="0" collapsed="false">
      <c r="A71" s="3" t="n">
        <v>69</v>
      </c>
      <c r="B71" s="4" t="n">
        <v>44575.2916666667</v>
      </c>
      <c r="C71" s="4" t="n">
        <v>44575.4166666667</v>
      </c>
      <c r="D71" s="3" t="n">
        <v>3</v>
      </c>
      <c r="E71" s="5" t="n">
        <v>42019.38</v>
      </c>
      <c r="F71" s="5" t="n">
        <v>43084.27</v>
      </c>
      <c r="G71" s="3" t="s">
        <v>21</v>
      </c>
      <c r="H71" s="5" t="n">
        <f aca="false">E71-F71</f>
        <v>-1064.89</v>
      </c>
      <c r="I71" s="6" t="n">
        <f aca="false">MAX(Fees!$B$6,Fees!$B$5*Fees!$B$4*E71)+MAX(Fees!$B$6,Fees!$B$5*Fees!$B$4*F71)</f>
        <v>0.3</v>
      </c>
      <c r="J71" s="6" t="n">
        <f aca="false">2*Fees!$B$8</f>
        <v>0.3</v>
      </c>
      <c r="K71" s="6" t="n">
        <f aca="false">2*Fees!$B$10</f>
        <v>5</v>
      </c>
      <c r="L71" s="5" t="n">
        <f aca="false">I71*Fees!$B$3/Fees!$B$4</f>
        <v>30</v>
      </c>
      <c r="M71" s="5" t="n">
        <f aca="false">J71*Fees!$B$3/Fees!$B$7</f>
        <v>30</v>
      </c>
      <c r="N71" s="5" t="n">
        <f aca="false">K71*Fees!$B$3/Fees!$B$9</f>
        <v>50</v>
      </c>
      <c r="O71" s="5" t="n">
        <f aca="false">2*Fees!$B$11*Fees!$B$3</f>
        <v>20</v>
      </c>
      <c r="P71" s="5" t="n">
        <f aca="false">H71*Fees!$B$3-L71-O71</f>
        <v>-1114.89</v>
      </c>
      <c r="Q71" s="5" t="n">
        <f aca="false">H71*Fees!$B$3-M71-O71</f>
        <v>-1114.89</v>
      </c>
      <c r="R71" s="5" t="n">
        <f aca="false">H71*Fees!$B$3-N71-O71</f>
        <v>-1134.89</v>
      </c>
    </row>
    <row r="72" customFormat="false" ht="15" hidden="false" customHeight="false" outlineLevel="0" collapsed="false">
      <c r="A72" s="3" t="n">
        <v>70</v>
      </c>
      <c r="B72" s="4" t="n">
        <v>44591.625</v>
      </c>
      <c r="C72" s="4" t="n">
        <v>44592.5416666667</v>
      </c>
      <c r="D72" s="3" t="n">
        <v>22</v>
      </c>
      <c r="E72" s="5" t="n">
        <v>37535.75</v>
      </c>
      <c r="F72" s="5" t="n">
        <v>38449.69</v>
      </c>
      <c r="G72" s="3" t="s">
        <v>21</v>
      </c>
      <c r="H72" s="5" t="n">
        <f aca="false">E72-F72</f>
        <v>-913.940000000002</v>
      </c>
      <c r="I72" s="6" t="n">
        <f aca="false">MAX(Fees!$B$6,Fees!$B$5*Fees!$B$4*E72)+MAX(Fees!$B$6,Fees!$B$5*Fees!$B$4*F72)</f>
        <v>0.3</v>
      </c>
      <c r="J72" s="6" t="n">
        <f aca="false">2*Fees!$B$8</f>
        <v>0.3</v>
      </c>
      <c r="K72" s="6" t="n">
        <f aca="false">2*Fees!$B$10</f>
        <v>5</v>
      </c>
      <c r="L72" s="5" t="n">
        <f aca="false">I72*Fees!$B$3/Fees!$B$4</f>
        <v>30</v>
      </c>
      <c r="M72" s="5" t="n">
        <f aca="false">J72*Fees!$B$3/Fees!$B$7</f>
        <v>30</v>
      </c>
      <c r="N72" s="5" t="n">
        <f aca="false">K72*Fees!$B$3/Fees!$B$9</f>
        <v>50</v>
      </c>
      <c r="O72" s="5" t="n">
        <f aca="false">2*Fees!$B$11*Fees!$B$3</f>
        <v>20</v>
      </c>
      <c r="P72" s="5" t="n">
        <f aca="false">H72*Fees!$B$3-L72-O72</f>
        <v>-963.940000000002</v>
      </c>
      <c r="Q72" s="5" t="n">
        <f aca="false">H72*Fees!$B$3-M72-O72</f>
        <v>-963.940000000002</v>
      </c>
      <c r="R72" s="5" t="n">
        <f aca="false">H72*Fees!$B$3-N72-O72</f>
        <v>-983.940000000002</v>
      </c>
    </row>
    <row r="73" customFormat="false" ht="15" hidden="false" customHeight="false" outlineLevel="0" collapsed="false">
      <c r="A73" s="3" t="n">
        <v>71</v>
      </c>
      <c r="B73" s="4" t="n">
        <v>44594.5833333333</v>
      </c>
      <c r="C73" s="4" t="n">
        <v>44595.875</v>
      </c>
      <c r="D73" s="3" t="n">
        <v>31</v>
      </c>
      <c r="E73" s="5" t="n">
        <v>37535.42</v>
      </c>
      <c r="F73" s="5" t="n">
        <v>37209.99</v>
      </c>
      <c r="G73" s="3" t="s">
        <v>20</v>
      </c>
      <c r="H73" s="5" t="n">
        <f aca="false">E73-F73</f>
        <v>325.43</v>
      </c>
      <c r="I73" s="6" t="n">
        <f aca="false">MAX(Fees!$B$6,Fees!$B$5*Fees!$B$4*E73)+MAX(Fees!$B$6,Fees!$B$5*Fees!$B$4*F73)</f>
        <v>0.3</v>
      </c>
      <c r="J73" s="6" t="n">
        <f aca="false">2*Fees!$B$8</f>
        <v>0.3</v>
      </c>
      <c r="K73" s="6" t="n">
        <f aca="false">2*Fees!$B$10</f>
        <v>5</v>
      </c>
      <c r="L73" s="5" t="n">
        <f aca="false">I73*Fees!$B$3/Fees!$B$4</f>
        <v>30</v>
      </c>
      <c r="M73" s="5" t="n">
        <f aca="false">J73*Fees!$B$3/Fees!$B$7</f>
        <v>30</v>
      </c>
      <c r="N73" s="5" t="n">
        <f aca="false">K73*Fees!$B$3/Fees!$B$9</f>
        <v>50</v>
      </c>
      <c r="O73" s="5" t="n">
        <f aca="false">2*Fees!$B$11*Fees!$B$3</f>
        <v>20</v>
      </c>
      <c r="P73" s="5" t="n">
        <f aca="false">H73*Fees!$B$3-L73-O73</f>
        <v>275.43</v>
      </c>
      <c r="Q73" s="5" t="n">
        <f aca="false">H73*Fees!$B$3-M73-O73</f>
        <v>275.43</v>
      </c>
      <c r="R73" s="5" t="n">
        <f aca="false">H73*Fees!$B$3-N73-O73</f>
        <v>255.43</v>
      </c>
    </row>
    <row r="74" customFormat="false" ht="15" hidden="false" customHeight="false" outlineLevel="0" collapsed="false">
      <c r="A74" s="3" t="n">
        <v>72</v>
      </c>
      <c r="B74" s="4" t="n">
        <v>44603.7916666667</v>
      </c>
      <c r="C74" s="4" t="n">
        <v>44604.625</v>
      </c>
      <c r="D74" s="3" t="n">
        <v>20</v>
      </c>
      <c r="E74" s="5" t="n">
        <v>42406.19</v>
      </c>
      <c r="F74" s="5" t="n">
        <v>42675.12</v>
      </c>
      <c r="G74" s="3" t="s">
        <v>20</v>
      </c>
      <c r="H74" s="5" t="n">
        <f aca="false">E74-F74</f>
        <v>-268.93</v>
      </c>
      <c r="I74" s="6" t="n">
        <f aca="false">MAX(Fees!$B$6,Fees!$B$5*Fees!$B$4*E74)+MAX(Fees!$B$6,Fees!$B$5*Fees!$B$4*F74)</f>
        <v>0.3</v>
      </c>
      <c r="J74" s="6" t="n">
        <f aca="false">2*Fees!$B$8</f>
        <v>0.3</v>
      </c>
      <c r="K74" s="6" t="n">
        <f aca="false">2*Fees!$B$10</f>
        <v>5</v>
      </c>
      <c r="L74" s="5" t="n">
        <f aca="false">I74*Fees!$B$3/Fees!$B$4</f>
        <v>30</v>
      </c>
      <c r="M74" s="5" t="n">
        <f aca="false">J74*Fees!$B$3/Fees!$B$7</f>
        <v>30</v>
      </c>
      <c r="N74" s="5" t="n">
        <f aca="false">K74*Fees!$B$3/Fees!$B$9</f>
        <v>50</v>
      </c>
      <c r="O74" s="5" t="n">
        <f aca="false">2*Fees!$B$11*Fees!$B$3</f>
        <v>20</v>
      </c>
      <c r="P74" s="5" t="n">
        <f aca="false">H74*Fees!$B$3-L74-O74</f>
        <v>-318.93</v>
      </c>
      <c r="Q74" s="5" t="n">
        <f aca="false">H74*Fees!$B$3-M74-O74</f>
        <v>-318.93</v>
      </c>
      <c r="R74" s="5" t="n">
        <f aca="false">H74*Fees!$B$3-N74-O74</f>
        <v>-338.93</v>
      </c>
    </row>
    <row r="75" customFormat="false" ht="15" hidden="false" customHeight="false" outlineLevel="0" collapsed="false">
      <c r="A75" s="3" t="n">
        <v>73</v>
      </c>
      <c r="B75" s="4" t="n">
        <v>44618.9166666667</v>
      </c>
      <c r="C75" s="4" t="n">
        <v>44619.2083333333</v>
      </c>
      <c r="D75" s="3" t="n">
        <v>7</v>
      </c>
      <c r="E75" s="5" t="n">
        <v>38572.65</v>
      </c>
      <c r="F75" s="5" t="n">
        <v>39122.01</v>
      </c>
      <c r="G75" s="3" t="s">
        <v>19</v>
      </c>
      <c r="H75" s="5" t="n">
        <f aca="false">E75-F75</f>
        <v>-549.360000000001</v>
      </c>
      <c r="I75" s="6" t="n">
        <f aca="false">MAX(Fees!$B$6,Fees!$B$5*Fees!$B$4*E75)+MAX(Fees!$B$6,Fees!$B$5*Fees!$B$4*F75)</f>
        <v>0.3</v>
      </c>
      <c r="J75" s="6" t="n">
        <f aca="false">2*Fees!$B$8</f>
        <v>0.3</v>
      </c>
      <c r="K75" s="6" t="n">
        <f aca="false">2*Fees!$B$10</f>
        <v>5</v>
      </c>
      <c r="L75" s="5" t="n">
        <f aca="false">I75*Fees!$B$3/Fees!$B$4</f>
        <v>30</v>
      </c>
      <c r="M75" s="5" t="n">
        <f aca="false">J75*Fees!$B$3/Fees!$B$7</f>
        <v>30</v>
      </c>
      <c r="N75" s="5" t="n">
        <f aca="false">K75*Fees!$B$3/Fees!$B$9</f>
        <v>50</v>
      </c>
      <c r="O75" s="5" t="n">
        <f aca="false">2*Fees!$B$11*Fees!$B$3</f>
        <v>20</v>
      </c>
      <c r="P75" s="5" t="n">
        <f aca="false">H75*Fees!$B$3-L75-O75</f>
        <v>-599.360000000001</v>
      </c>
      <c r="Q75" s="5" t="n">
        <f aca="false">H75*Fees!$B$3-M75-O75</f>
        <v>-599.360000000001</v>
      </c>
      <c r="R75" s="5" t="n">
        <f aca="false">H75*Fees!$B$3-N75-O75</f>
        <v>-619.360000000001</v>
      </c>
    </row>
    <row r="76" customFormat="false" ht="15" hidden="false" customHeight="false" outlineLevel="0" collapsed="false">
      <c r="A76" s="3" t="n">
        <v>74</v>
      </c>
      <c r="B76" s="4" t="n">
        <v>44630.9166666667</v>
      </c>
      <c r="C76" s="4" t="n">
        <v>44631.0833333333</v>
      </c>
      <c r="D76" s="3" t="n">
        <v>4</v>
      </c>
      <c r="E76" s="5" t="n">
        <v>38277.5</v>
      </c>
      <c r="F76" s="5" t="n">
        <v>38975.49</v>
      </c>
      <c r="G76" s="3" t="s">
        <v>19</v>
      </c>
      <c r="H76" s="5" t="n">
        <f aca="false">E76-F76</f>
        <v>-697.989999999998</v>
      </c>
      <c r="I76" s="6" t="n">
        <f aca="false">MAX(Fees!$B$6,Fees!$B$5*Fees!$B$4*E76)+MAX(Fees!$B$6,Fees!$B$5*Fees!$B$4*F76)</f>
        <v>0.3</v>
      </c>
      <c r="J76" s="6" t="n">
        <f aca="false">2*Fees!$B$8</f>
        <v>0.3</v>
      </c>
      <c r="K76" s="6" t="n">
        <f aca="false">2*Fees!$B$10</f>
        <v>5</v>
      </c>
      <c r="L76" s="5" t="n">
        <f aca="false">I76*Fees!$B$3/Fees!$B$4</f>
        <v>30</v>
      </c>
      <c r="M76" s="5" t="n">
        <f aca="false">J76*Fees!$B$3/Fees!$B$7</f>
        <v>30</v>
      </c>
      <c r="N76" s="5" t="n">
        <f aca="false">K76*Fees!$B$3/Fees!$B$9</f>
        <v>50</v>
      </c>
      <c r="O76" s="5" t="n">
        <f aca="false">2*Fees!$B$11*Fees!$B$3</f>
        <v>20</v>
      </c>
      <c r="P76" s="5" t="n">
        <f aca="false">H76*Fees!$B$3-L76-O76</f>
        <v>-747.989999999998</v>
      </c>
      <c r="Q76" s="5" t="n">
        <f aca="false">H76*Fees!$B$3-M76-O76</f>
        <v>-747.989999999998</v>
      </c>
      <c r="R76" s="5" t="n">
        <f aca="false">H76*Fees!$B$3-N76-O76</f>
        <v>-767.989999999998</v>
      </c>
    </row>
    <row r="77" customFormat="false" ht="15" hidden="false" customHeight="false" outlineLevel="0" collapsed="false">
      <c r="A77" s="3" t="n">
        <v>75</v>
      </c>
      <c r="B77" s="4" t="n">
        <v>44662.4166666667</v>
      </c>
      <c r="C77" s="4" t="n">
        <v>44664.4166666667</v>
      </c>
      <c r="D77" s="3" t="n">
        <v>48</v>
      </c>
      <c r="E77" s="5" t="n">
        <v>41145.91</v>
      </c>
      <c r="F77" s="5" t="n">
        <v>40548.79</v>
      </c>
      <c r="G77" s="3" t="s">
        <v>20</v>
      </c>
      <c r="H77" s="5" t="n">
        <f aca="false">E77-F77</f>
        <v>597.120000000003</v>
      </c>
      <c r="I77" s="6" t="n">
        <f aca="false">MAX(Fees!$B$6,Fees!$B$5*Fees!$B$4*E77)+MAX(Fees!$B$6,Fees!$B$5*Fees!$B$4*F77)</f>
        <v>0.3</v>
      </c>
      <c r="J77" s="6" t="n">
        <f aca="false">2*Fees!$B$8</f>
        <v>0.3</v>
      </c>
      <c r="K77" s="6" t="n">
        <f aca="false">2*Fees!$B$10</f>
        <v>5</v>
      </c>
      <c r="L77" s="5" t="n">
        <f aca="false">I77*Fees!$B$3/Fees!$B$4</f>
        <v>30</v>
      </c>
      <c r="M77" s="5" t="n">
        <f aca="false">J77*Fees!$B$3/Fees!$B$7</f>
        <v>30</v>
      </c>
      <c r="N77" s="5" t="n">
        <f aca="false">K77*Fees!$B$3/Fees!$B$9</f>
        <v>50</v>
      </c>
      <c r="O77" s="5" t="n">
        <f aca="false">2*Fees!$B$11*Fees!$B$3</f>
        <v>20</v>
      </c>
      <c r="P77" s="5" t="n">
        <f aca="false">H77*Fees!$B$3-L77-O77</f>
        <v>547.120000000003</v>
      </c>
      <c r="Q77" s="5" t="n">
        <f aca="false">H77*Fees!$B$3-M77-O77</f>
        <v>547.120000000003</v>
      </c>
      <c r="R77" s="5" t="n">
        <f aca="false">H77*Fees!$B$3-N77-O77</f>
        <v>527.120000000003</v>
      </c>
    </row>
    <row r="78" customFormat="false" ht="15" hidden="false" customHeight="false" outlineLevel="0" collapsed="false">
      <c r="A78" s="3" t="n">
        <v>76</v>
      </c>
      <c r="B78" s="4" t="n">
        <v>44673.5</v>
      </c>
      <c r="C78" s="4" t="n">
        <v>44675</v>
      </c>
      <c r="D78" s="3" t="n">
        <v>36</v>
      </c>
      <c r="E78" s="5" t="n">
        <v>39437.89</v>
      </c>
      <c r="F78" s="5" t="n">
        <v>39775.08</v>
      </c>
      <c r="G78" s="3" t="s">
        <v>19</v>
      </c>
      <c r="H78" s="5" t="n">
        <f aca="false">E78-F78</f>
        <v>-337.190000000002</v>
      </c>
      <c r="I78" s="6" t="n">
        <f aca="false">MAX(Fees!$B$6,Fees!$B$5*Fees!$B$4*E78)+MAX(Fees!$B$6,Fees!$B$5*Fees!$B$4*F78)</f>
        <v>0.3</v>
      </c>
      <c r="J78" s="6" t="n">
        <f aca="false">2*Fees!$B$8</f>
        <v>0.3</v>
      </c>
      <c r="K78" s="6" t="n">
        <f aca="false">2*Fees!$B$10</f>
        <v>5</v>
      </c>
      <c r="L78" s="5" t="n">
        <f aca="false">I78*Fees!$B$3/Fees!$B$4</f>
        <v>30</v>
      </c>
      <c r="M78" s="5" t="n">
        <f aca="false">J78*Fees!$B$3/Fees!$B$7</f>
        <v>30</v>
      </c>
      <c r="N78" s="5" t="n">
        <f aca="false">K78*Fees!$B$3/Fees!$B$9</f>
        <v>50</v>
      </c>
      <c r="O78" s="5" t="n">
        <f aca="false">2*Fees!$B$11*Fees!$B$3</f>
        <v>20</v>
      </c>
      <c r="P78" s="5" t="n">
        <f aca="false">H78*Fees!$B$3-L78-O78</f>
        <v>-387.190000000002</v>
      </c>
      <c r="Q78" s="5" t="n">
        <f aca="false">H78*Fees!$B$3-M78-O78</f>
        <v>-387.190000000002</v>
      </c>
      <c r="R78" s="5" t="n">
        <f aca="false">H78*Fees!$B$3-N78-O78</f>
        <v>-407.190000000002</v>
      </c>
    </row>
    <row r="79" customFormat="false" ht="15" hidden="false" customHeight="false" outlineLevel="0" collapsed="false">
      <c r="A79" s="3" t="n">
        <v>77</v>
      </c>
      <c r="B79" s="4" t="n">
        <v>44681.8333333333</v>
      </c>
      <c r="C79" s="4" t="n">
        <v>44682.5833333333</v>
      </c>
      <c r="D79" s="3" t="n">
        <v>18</v>
      </c>
      <c r="E79" s="5" t="n">
        <v>37639.8</v>
      </c>
      <c r="F79" s="5" t="n">
        <v>38379.49</v>
      </c>
      <c r="G79" s="3" t="s">
        <v>20</v>
      </c>
      <c r="H79" s="5" t="n">
        <f aca="false">E79-F79</f>
        <v>-739.689999999995</v>
      </c>
      <c r="I79" s="6" t="n">
        <f aca="false">MAX(Fees!$B$6,Fees!$B$5*Fees!$B$4*E79)+MAX(Fees!$B$6,Fees!$B$5*Fees!$B$4*F79)</f>
        <v>0.3</v>
      </c>
      <c r="J79" s="6" t="n">
        <f aca="false">2*Fees!$B$8</f>
        <v>0.3</v>
      </c>
      <c r="K79" s="6" t="n">
        <f aca="false">2*Fees!$B$10</f>
        <v>5</v>
      </c>
      <c r="L79" s="5" t="n">
        <f aca="false">I79*Fees!$B$3/Fees!$B$4</f>
        <v>30</v>
      </c>
      <c r="M79" s="5" t="n">
        <f aca="false">J79*Fees!$B$3/Fees!$B$7</f>
        <v>30</v>
      </c>
      <c r="N79" s="5" t="n">
        <f aca="false">K79*Fees!$B$3/Fees!$B$9</f>
        <v>50</v>
      </c>
      <c r="O79" s="5" t="n">
        <f aca="false">2*Fees!$B$11*Fees!$B$3</f>
        <v>20</v>
      </c>
      <c r="P79" s="5" t="n">
        <f aca="false">H79*Fees!$B$3-L79-O79</f>
        <v>-789.689999999995</v>
      </c>
      <c r="Q79" s="5" t="n">
        <f aca="false">H79*Fees!$B$3-M79-O79</f>
        <v>-789.689999999995</v>
      </c>
      <c r="R79" s="5" t="n">
        <f aca="false">H79*Fees!$B$3-N79-O79</f>
        <v>-809.689999999995</v>
      </c>
    </row>
    <row r="80" customFormat="false" ht="15" hidden="false" customHeight="false" outlineLevel="0" collapsed="false">
      <c r="A80" s="3" t="n">
        <v>78</v>
      </c>
      <c r="B80" s="4" t="n">
        <v>44701.5416666667</v>
      </c>
      <c r="C80" s="4" t="n">
        <v>44702.1666666667</v>
      </c>
      <c r="D80" s="3" t="n">
        <v>15</v>
      </c>
      <c r="E80" s="5" t="n">
        <v>28872.97</v>
      </c>
      <c r="F80" s="5" t="n">
        <v>29387.96</v>
      </c>
      <c r="G80" s="3" t="s">
        <v>20</v>
      </c>
      <c r="H80" s="5" t="n">
        <f aca="false">E80-F80</f>
        <v>-514.989999999998</v>
      </c>
      <c r="I80" s="6" t="n">
        <f aca="false">MAX(Fees!$B$6,Fees!$B$5*Fees!$B$4*E80)+MAX(Fees!$B$6,Fees!$B$5*Fees!$B$4*F80)</f>
        <v>0.3</v>
      </c>
      <c r="J80" s="6" t="n">
        <f aca="false">2*Fees!$B$8</f>
        <v>0.3</v>
      </c>
      <c r="K80" s="6" t="n">
        <f aca="false">2*Fees!$B$10</f>
        <v>5</v>
      </c>
      <c r="L80" s="5" t="n">
        <f aca="false">I80*Fees!$B$3/Fees!$B$4</f>
        <v>30</v>
      </c>
      <c r="M80" s="5" t="n">
        <f aca="false">J80*Fees!$B$3/Fees!$B$7</f>
        <v>30</v>
      </c>
      <c r="N80" s="5" t="n">
        <f aca="false">K80*Fees!$B$3/Fees!$B$9</f>
        <v>50</v>
      </c>
      <c r="O80" s="5" t="n">
        <f aca="false">2*Fees!$B$11*Fees!$B$3</f>
        <v>20</v>
      </c>
      <c r="P80" s="5" t="n">
        <f aca="false">H80*Fees!$B$3-L80-O80</f>
        <v>-564.989999999998</v>
      </c>
      <c r="Q80" s="5" t="n">
        <f aca="false">H80*Fees!$B$3-M80-O80</f>
        <v>-564.989999999998</v>
      </c>
      <c r="R80" s="5" t="n">
        <f aca="false">H80*Fees!$B$3-N80-O80</f>
        <v>-584.989999999998</v>
      </c>
    </row>
    <row r="81" customFormat="false" ht="15" hidden="false" customHeight="false" outlineLevel="0" collapsed="false">
      <c r="A81" s="3" t="n">
        <v>79</v>
      </c>
      <c r="B81" s="4" t="n">
        <v>44713.4583333333</v>
      </c>
      <c r="C81" s="4" t="n">
        <v>44714.7916666667</v>
      </c>
      <c r="D81" s="3" t="n">
        <v>32</v>
      </c>
      <c r="E81" s="5" t="n">
        <v>31148.5</v>
      </c>
      <c r="F81" s="5" t="n">
        <v>30471.18</v>
      </c>
      <c r="G81" s="3" t="s">
        <v>20</v>
      </c>
      <c r="H81" s="5" t="n">
        <f aca="false">E81-F81</f>
        <v>677.32</v>
      </c>
      <c r="I81" s="6" t="n">
        <f aca="false">MAX(Fees!$B$6,Fees!$B$5*Fees!$B$4*E81)+MAX(Fees!$B$6,Fees!$B$5*Fees!$B$4*F81)</f>
        <v>0.3</v>
      </c>
      <c r="J81" s="6" t="n">
        <f aca="false">2*Fees!$B$8</f>
        <v>0.3</v>
      </c>
      <c r="K81" s="6" t="n">
        <f aca="false">2*Fees!$B$10</f>
        <v>5</v>
      </c>
      <c r="L81" s="5" t="n">
        <f aca="false">I81*Fees!$B$3/Fees!$B$4</f>
        <v>30</v>
      </c>
      <c r="M81" s="5" t="n">
        <f aca="false">J81*Fees!$B$3/Fees!$B$7</f>
        <v>30</v>
      </c>
      <c r="N81" s="5" t="n">
        <f aca="false">K81*Fees!$B$3/Fees!$B$9</f>
        <v>50</v>
      </c>
      <c r="O81" s="5" t="n">
        <f aca="false">2*Fees!$B$11*Fees!$B$3</f>
        <v>20</v>
      </c>
      <c r="P81" s="5" t="n">
        <f aca="false">H81*Fees!$B$3-L81-O81</f>
        <v>627.32</v>
      </c>
      <c r="Q81" s="5" t="n">
        <f aca="false">H81*Fees!$B$3-M81-O81</f>
        <v>627.32</v>
      </c>
      <c r="R81" s="5" t="n">
        <f aca="false">H81*Fees!$B$3-N81-O81</f>
        <v>607.32</v>
      </c>
    </row>
    <row r="82" customFormat="false" ht="15" hidden="false" customHeight="false" outlineLevel="0" collapsed="false">
      <c r="A82" s="3" t="n">
        <v>80</v>
      </c>
      <c r="B82" s="4" t="n">
        <v>44718.9583333333</v>
      </c>
      <c r="C82" s="4" t="n">
        <v>44719.5416666667</v>
      </c>
      <c r="D82" s="3" t="n">
        <v>14</v>
      </c>
      <c r="E82" s="5" t="n">
        <v>29382.39</v>
      </c>
      <c r="F82" s="5" t="n">
        <v>29916.74</v>
      </c>
      <c r="G82" s="3" t="s">
        <v>20</v>
      </c>
      <c r="H82" s="5" t="n">
        <f aca="false">E82-F82</f>
        <v>-534.350000000002</v>
      </c>
      <c r="I82" s="6" t="n">
        <f aca="false">MAX(Fees!$B$6,Fees!$B$5*Fees!$B$4*E82)+MAX(Fees!$B$6,Fees!$B$5*Fees!$B$4*F82)</f>
        <v>0.3</v>
      </c>
      <c r="J82" s="6" t="n">
        <f aca="false">2*Fees!$B$8</f>
        <v>0.3</v>
      </c>
      <c r="K82" s="6" t="n">
        <f aca="false">2*Fees!$B$10</f>
        <v>5</v>
      </c>
      <c r="L82" s="5" t="n">
        <f aca="false">I82*Fees!$B$3/Fees!$B$4</f>
        <v>30</v>
      </c>
      <c r="M82" s="5" t="n">
        <f aca="false">J82*Fees!$B$3/Fees!$B$7</f>
        <v>30</v>
      </c>
      <c r="N82" s="5" t="n">
        <f aca="false">K82*Fees!$B$3/Fees!$B$9</f>
        <v>50</v>
      </c>
      <c r="O82" s="5" t="n">
        <f aca="false">2*Fees!$B$11*Fees!$B$3</f>
        <v>20</v>
      </c>
      <c r="P82" s="5" t="n">
        <f aca="false">H82*Fees!$B$3-L82-O82</f>
        <v>-584.350000000002</v>
      </c>
      <c r="Q82" s="5" t="n">
        <f aca="false">H82*Fees!$B$3-M82-O82</f>
        <v>-584.350000000002</v>
      </c>
      <c r="R82" s="5" t="n">
        <f aca="false">H82*Fees!$B$3-N82-O82</f>
        <v>-604.350000000002</v>
      </c>
    </row>
    <row r="83" customFormat="false" ht="15" hidden="false" customHeight="false" outlineLevel="0" collapsed="false">
      <c r="A83" s="3" t="n">
        <v>81</v>
      </c>
      <c r="B83" s="4" t="n">
        <v>44734.7083333333</v>
      </c>
      <c r="C83" s="4" t="n">
        <v>44734.875</v>
      </c>
      <c r="D83" s="3" t="n">
        <v>4</v>
      </c>
      <c r="E83" s="5" t="n">
        <v>19865.31</v>
      </c>
      <c r="F83" s="5" t="n">
        <v>20396.3</v>
      </c>
      <c r="G83" s="3" t="s">
        <v>19</v>
      </c>
      <c r="H83" s="5" t="n">
        <f aca="false">E83-F83</f>
        <v>-530.989999999998</v>
      </c>
      <c r="I83" s="6" t="n">
        <f aca="false">MAX(Fees!$B$6,Fees!$B$5*Fees!$B$4*E83)+MAX(Fees!$B$6,Fees!$B$5*Fees!$B$4*F83)</f>
        <v>0.3</v>
      </c>
      <c r="J83" s="6" t="n">
        <f aca="false">2*Fees!$B$8</f>
        <v>0.3</v>
      </c>
      <c r="K83" s="6" t="n">
        <f aca="false">2*Fees!$B$10</f>
        <v>5</v>
      </c>
      <c r="L83" s="5" t="n">
        <f aca="false">I83*Fees!$B$3/Fees!$B$4</f>
        <v>30</v>
      </c>
      <c r="M83" s="5" t="n">
        <f aca="false">J83*Fees!$B$3/Fees!$B$7</f>
        <v>30</v>
      </c>
      <c r="N83" s="5" t="n">
        <f aca="false">K83*Fees!$B$3/Fees!$B$9</f>
        <v>50</v>
      </c>
      <c r="O83" s="5" t="n">
        <f aca="false">2*Fees!$B$11*Fees!$B$3</f>
        <v>20</v>
      </c>
      <c r="P83" s="5" t="n">
        <f aca="false">H83*Fees!$B$3-L83-O83</f>
        <v>-580.989999999998</v>
      </c>
      <c r="Q83" s="5" t="n">
        <f aca="false">H83*Fees!$B$3-M83-O83</f>
        <v>-580.989999999998</v>
      </c>
      <c r="R83" s="5" t="n">
        <f aca="false">H83*Fees!$B$3-N83-O83</f>
        <v>-600.989999999998</v>
      </c>
    </row>
    <row r="84" customFormat="false" ht="15" hidden="false" customHeight="false" outlineLevel="0" collapsed="false">
      <c r="A84" s="3" t="n">
        <v>82</v>
      </c>
      <c r="B84" s="4" t="n">
        <v>44739.4166666667</v>
      </c>
      <c r="C84" s="4" t="n">
        <v>44740.2083333333</v>
      </c>
      <c r="D84" s="3" t="n">
        <v>19</v>
      </c>
      <c r="E84" s="5" t="n">
        <v>20722.3</v>
      </c>
      <c r="F84" s="5" t="n">
        <v>21105.03</v>
      </c>
      <c r="G84" s="3" t="s">
        <v>20</v>
      </c>
      <c r="H84" s="5" t="n">
        <f aca="false">E84-F84</f>
        <v>-382.73</v>
      </c>
      <c r="I84" s="6" t="n">
        <f aca="false">MAX(Fees!$B$6,Fees!$B$5*Fees!$B$4*E84)+MAX(Fees!$B$6,Fees!$B$5*Fees!$B$4*F84)</f>
        <v>0.3</v>
      </c>
      <c r="J84" s="6" t="n">
        <f aca="false">2*Fees!$B$8</f>
        <v>0.3</v>
      </c>
      <c r="K84" s="6" t="n">
        <f aca="false">2*Fees!$B$10</f>
        <v>5</v>
      </c>
      <c r="L84" s="5" t="n">
        <f aca="false">I84*Fees!$B$3/Fees!$B$4</f>
        <v>30</v>
      </c>
      <c r="M84" s="5" t="n">
        <f aca="false">J84*Fees!$B$3/Fees!$B$7</f>
        <v>30</v>
      </c>
      <c r="N84" s="5" t="n">
        <f aca="false">K84*Fees!$B$3/Fees!$B$9</f>
        <v>50</v>
      </c>
      <c r="O84" s="5" t="n">
        <f aca="false">2*Fees!$B$11*Fees!$B$3</f>
        <v>20</v>
      </c>
      <c r="P84" s="5" t="n">
        <f aca="false">H84*Fees!$B$3-L84-O84</f>
        <v>-432.73</v>
      </c>
      <c r="Q84" s="5" t="n">
        <f aca="false">H84*Fees!$B$3-M84-O84</f>
        <v>-432.73</v>
      </c>
      <c r="R84" s="5" t="n">
        <f aca="false">H84*Fees!$B$3-N84-O84</f>
        <v>-452.73</v>
      </c>
    </row>
    <row r="85" customFormat="false" ht="15" hidden="false" customHeight="false" outlineLevel="0" collapsed="false">
      <c r="A85" s="3" t="n">
        <v>83</v>
      </c>
      <c r="B85" s="4" t="n">
        <v>44767.7916666667</v>
      </c>
      <c r="C85" s="4" t="n">
        <v>44769.5416666667</v>
      </c>
      <c r="D85" s="3" t="n">
        <v>42</v>
      </c>
      <c r="E85" s="5" t="n">
        <v>21679.44</v>
      </c>
      <c r="F85" s="5" t="n">
        <v>21531.35</v>
      </c>
      <c r="G85" s="3" t="s">
        <v>20</v>
      </c>
      <c r="H85" s="5" t="n">
        <f aca="false">E85-F85</f>
        <v>148.09</v>
      </c>
      <c r="I85" s="6" t="n">
        <f aca="false">MAX(Fees!$B$6,Fees!$B$5*Fees!$B$4*E85)+MAX(Fees!$B$6,Fees!$B$5*Fees!$B$4*F85)</f>
        <v>0.3</v>
      </c>
      <c r="J85" s="6" t="n">
        <f aca="false">2*Fees!$B$8</f>
        <v>0.3</v>
      </c>
      <c r="K85" s="6" t="n">
        <f aca="false">2*Fees!$B$10</f>
        <v>5</v>
      </c>
      <c r="L85" s="5" t="n">
        <f aca="false">I85*Fees!$B$3/Fees!$B$4</f>
        <v>30</v>
      </c>
      <c r="M85" s="5" t="n">
        <f aca="false">J85*Fees!$B$3/Fees!$B$7</f>
        <v>30</v>
      </c>
      <c r="N85" s="5" t="n">
        <f aca="false">K85*Fees!$B$3/Fees!$B$9</f>
        <v>50</v>
      </c>
      <c r="O85" s="5" t="n">
        <f aca="false">2*Fees!$B$11*Fees!$B$3</f>
        <v>20</v>
      </c>
      <c r="P85" s="5" t="n">
        <f aca="false">H85*Fees!$B$3-L85-O85</f>
        <v>98.0900000000002</v>
      </c>
      <c r="Q85" s="5" t="n">
        <f aca="false">H85*Fees!$B$3-M85-O85</f>
        <v>98.0900000000002</v>
      </c>
      <c r="R85" s="5" t="n">
        <f aca="false">H85*Fees!$B$3-N85-O85</f>
        <v>78.0900000000002</v>
      </c>
    </row>
    <row r="86" customFormat="false" ht="15" hidden="false" customHeight="false" outlineLevel="0" collapsed="false">
      <c r="A86" s="3" t="n">
        <v>84</v>
      </c>
      <c r="B86" s="4" t="n">
        <v>44777.625</v>
      </c>
      <c r="C86" s="4" t="n">
        <v>44777.9166666667</v>
      </c>
      <c r="D86" s="3" t="n">
        <v>7</v>
      </c>
      <c r="E86" s="5" t="n">
        <v>22555.99</v>
      </c>
      <c r="F86" s="5" t="n">
        <v>22897.9</v>
      </c>
      <c r="G86" s="3" t="s">
        <v>19</v>
      </c>
      <c r="H86" s="5" t="n">
        <f aca="false">E86-F86</f>
        <v>-341.91</v>
      </c>
      <c r="I86" s="6" t="n">
        <f aca="false">MAX(Fees!$B$6,Fees!$B$5*Fees!$B$4*E86)+MAX(Fees!$B$6,Fees!$B$5*Fees!$B$4*F86)</f>
        <v>0.3</v>
      </c>
      <c r="J86" s="6" t="n">
        <f aca="false">2*Fees!$B$8</f>
        <v>0.3</v>
      </c>
      <c r="K86" s="6" t="n">
        <f aca="false">2*Fees!$B$10</f>
        <v>5</v>
      </c>
      <c r="L86" s="5" t="n">
        <f aca="false">I86*Fees!$B$3/Fees!$B$4</f>
        <v>30</v>
      </c>
      <c r="M86" s="5" t="n">
        <f aca="false">J86*Fees!$B$3/Fees!$B$7</f>
        <v>30</v>
      </c>
      <c r="N86" s="5" t="n">
        <f aca="false">K86*Fees!$B$3/Fees!$B$9</f>
        <v>50</v>
      </c>
      <c r="O86" s="5" t="n">
        <f aca="false">2*Fees!$B$11*Fees!$B$3</f>
        <v>20</v>
      </c>
      <c r="P86" s="5" t="n">
        <f aca="false">H86*Fees!$B$3-L86-O86</f>
        <v>-391.91</v>
      </c>
      <c r="Q86" s="5" t="n">
        <f aca="false">H86*Fees!$B$3-M86-O86</f>
        <v>-391.91</v>
      </c>
      <c r="R86" s="5" t="n">
        <f aca="false">H86*Fees!$B$3-N86-O86</f>
        <v>-411.91</v>
      </c>
    </row>
    <row r="87" customFormat="false" ht="15" hidden="false" customHeight="false" outlineLevel="0" collapsed="false">
      <c r="A87" s="3" t="n">
        <v>85</v>
      </c>
      <c r="B87" s="4" t="n">
        <v>44782.8333333333</v>
      </c>
      <c r="C87" s="4" t="n">
        <v>44783.375</v>
      </c>
      <c r="D87" s="3" t="n">
        <v>13</v>
      </c>
      <c r="E87" s="5" t="n">
        <v>23164.78</v>
      </c>
      <c r="F87" s="5" t="n">
        <v>23964.2</v>
      </c>
      <c r="G87" s="3" t="s">
        <v>21</v>
      </c>
      <c r="H87" s="5" t="n">
        <f aca="false">E87-F87</f>
        <v>-799.420000000002</v>
      </c>
      <c r="I87" s="6" t="n">
        <f aca="false">MAX(Fees!$B$6,Fees!$B$5*Fees!$B$4*E87)+MAX(Fees!$B$6,Fees!$B$5*Fees!$B$4*F87)</f>
        <v>0.3</v>
      </c>
      <c r="J87" s="6" t="n">
        <f aca="false">2*Fees!$B$8</f>
        <v>0.3</v>
      </c>
      <c r="K87" s="6" t="n">
        <f aca="false">2*Fees!$B$10</f>
        <v>5</v>
      </c>
      <c r="L87" s="5" t="n">
        <f aca="false">I87*Fees!$B$3/Fees!$B$4</f>
        <v>30</v>
      </c>
      <c r="M87" s="5" t="n">
        <f aca="false">J87*Fees!$B$3/Fees!$B$7</f>
        <v>30</v>
      </c>
      <c r="N87" s="5" t="n">
        <f aca="false">K87*Fees!$B$3/Fees!$B$9</f>
        <v>50</v>
      </c>
      <c r="O87" s="5" t="n">
        <f aca="false">2*Fees!$B$11*Fees!$B$3</f>
        <v>20</v>
      </c>
      <c r="P87" s="5" t="n">
        <f aca="false">H87*Fees!$B$3-L87-O87</f>
        <v>-849.420000000002</v>
      </c>
      <c r="Q87" s="5" t="n">
        <f aca="false">H87*Fees!$B$3-M87-O87</f>
        <v>-849.420000000002</v>
      </c>
      <c r="R87" s="5" t="n">
        <f aca="false">H87*Fees!$B$3-N87-O87</f>
        <v>-869.420000000002</v>
      </c>
    </row>
    <row r="88" customFormat="false" ht="15" hidden="false" customHeight="false" outlineLevel="0" collapsed="false">
      <c r="A88" s="3" t="n">
        <v>86</v>
      </c>
      <c r="B88" s="4" t="n">
        <v>44818.625</v>
      </c>
      <c r="C88" s="4" t="n">
        <v>44820.3333333333</v>
      </c>
      <c r="D88" s="3" t="n">
        <v>41</v>
      </c>
      <c r="E88" s="5" t="n">
        <v>19780</v>
      </c>
      <c r="F88" s="5" t="n">
        <v>19867</v>
      </c>
      <c r="G88" s="3" t="s">
        <v>20</v>
      </c>
      <c r="H88" s="5" t="n">
        <f aca="false">E88-F88</f>
        <v>-87</v>
      </c>
      <c r="I88" s="6" t="n">
        <f aca="false">MAX(Fees!$B$6,Fees!$B$5*Fees!$B$4*E88)+MAX(Fees!$B$6,Fees!$B$5*Fees!$B$4*F88)</f>
        <v>0.3</v>
      </c>
      <c r="J88" s="6" t="n">
        <f aca="false">2*Fees!$B$8</f>
        <v>0.3</v>
      </c>
      <c r="K88" s="6" t="n">
        <f aca="false">2*Fees!$B$10</f>
        <v>5</v>
      </c>
      <c r="L88" s="5" t="n">
        <f aca="false">I88*Fees!$B$3/Fees!$B$4</f>
        <v>30</v>
      </c>
      <c r="M88" s="5" t="n">
        <f aca="false">J88*Fees!$B$3/Fees!$B$7</f>
        <v>30</v>
      </c>
      <c r="N88" s="5" t="n">
        <f aca="false">K88*Fees!$B$3/Fees!$B$9</f>
        <v>50</v>
      </c>
      <c r="O88" s="5" t="n">
        <f aca="false">2*Fees!$B$11*Fees!$B$3</f>
        <v>20</v>
      </c>
      <c r="P88" s="5" t="n">
        <f aca="false">H88*Fees!$B$3-L88-O88</f>
        <v>-137</v>
      </c>
      <c r="Q88" s="5" t="n">
        <f aca="false">H88*Fees!$B$3-M88-O88</f>
        <v>-137</v>
      </c>
      <c r="R88" s="5" t="n">
        <f aca="false">H88*Fees!$B$3-N88-O88</f>
        <v>-157</v>
      </c>
    </row>
    <row r="89" customFormat="false" ht="15" hidden="false" customHeight="false" outlineLevel="0" collapsed="false">
      <c r="A89" s="3" t="n">
        <v>87</v>
      </c>
      <c r="B89" s="4" t="n">
        <v>44822.25</v>
      </c>
      <c r="C89" s="4" t="n">
        <v>44825.5833333333</v>
      </c>
      <c r="D89" s="3" t="n">
        <v>80</v>
      </c>
      <c r="E89" s="5" t="n">
        <v>19839</v>
      </c>
      <c r="F89" s="5" t="n">
        <v>19720</v>
      </c>
      <c r="G89" s="3" t="s">
        <v>20</v>
      </c>
      <c r="H89" s="5" t="n">
        <f aca="false">E89-F89</f>
        <v>119</v>
      </c>
      <c r="I89" s="6" t="n">
        <f aca="false">MAX(Fees!$B$6,Fees!$B$5*Fees!$B$4*E89)+MAX(Fees!$B$6,Fees!$B$5*Fees!$B$4*F89)</f>
        <v>0.3</v>
      </c>
      <c r="J89" s="6" t="n">
        <f aca="false">2*Fees!$B$8</f>
        <v>0.3</v>
      </c>
      <c r="K89" s="6" t="n">
        <f aca="false">2*Fees!$B$10</f>
        <v>5</v>
      </c>
      <c r="L89" s="5" t="n">
        <f aca="false">I89*Fees!$B$3/Fees!$B$4</f>
        <v>30</v>
      </c>
      <c r="M89" s="5" t="n">
        <f aca="false">J89*Fees!$B$3/Fees!$B$7</f>
        <v>30</v>
      </c>
      <c r="N89" s="5" t="n">
        <f aca="false">K89*Fees!$B$3/Fees!$B$9</f>
        <v>50</v>
      </c>
      <c r="O89" s="5" t="n">
        <f aca="false">2*Fees!$B$11*Fees!$B$3</f>
        <v>20</v>
      </c>
      <c r="P89" s="5" t="n">
        <f aca="false">H89*Fees!$B$3-L89-O89</f>
        <v>69</v>
      </c>
      <c r="Q89" s="5" t="n">
        <f aca="false">H89*Fees!$B$3-M89-O89</f>
        <v>69</v>
      </c>
      <c r="R89" s="5" t="n">
        <f aca="false">H89*Fees!$B$3-N89-O89</f>
        <v>49</v>
      </c>
    </row>
    <row r="90" customFormat="false" ht="15" hidden="false" customHeight="false" outlineLevel="0" collapsed="false">
      <c r="A90" s="3" t="n">
        <v>88</v>
      </c>
      <c r="B90" s="4" t="n">
        <v>44832.0833333333</v>
      </c>
      <c r="C90" s="4" t="n">
        <v>44832.3333333333</v>
      </c>
      <c r="D90" s="3" t="n">
        <v>6</v>
      </c>
      <c r="E90" s="5" t="n">
        <v>18818</v>
      </c>
      <c r="F90" s="5" t="n">
        <v>18940</v>
      </c>
      <c r="G90" s="3" t="s">
        <v>19</v>
      </c>
      <c r="H90" s="5" t="n">
        <f aca="false">E90-F90</f>
        <v>-122</v>
      </c>
      <c r="I90" s="6" t="n">
        <f aca="false">MAX(Fees!$B$6,Fees!$B$5*Fees!$B$4*E90)+MAX(Fees!$B$6,Fees!$B$5*Fees!$B$4*F90)</f>
        <v>0.3</v>
      </c>
      <c r="J90" s="6" t="n">
        <f aca="false">2*Fees!$B$8</f>
        <v>0.3</v>
      </c>
      <c r="K90" s="6" t="n">
        <f aca="false">2*Fees!$B$10</f>
        <v>5</v>
      </c>
      <c r="L90" s="5" t="n">
        <f aca="false">I90*Fees!$B$3/Fees!$B$4</f>
        <v>30</v>
      </c>
      <c r="M90" s="5" t="n">
        <f aca="false">J90*Fees!$B$3/Fees!$B$7</f>
        <v>30</v>
      </c>
      <c r="N90" s="5" t="n">
        <f aca="false">K90*Fees!$B$3/Fees!$B$9</f>
        <v>50</v>
      </c>
      <c r="O90" s="5" t="n">
        <f aca="false">2*Fees!$B$11*Fees!$B$3</f>
        <v>20</v>
      </c>
      <c r="P90" s="5" t="n">
        <f aca="false">H90*Fees!$B$3-L90-O90</f>
        <v>-172</v>
      </c>
      <c r="Q90" s="5" t="n">
        <f aca="false">H90*Fees!$B$3-M90-O90</f>
        <v>-172</v>
      </c>
      <c r="R90" s="5" t="n">
        <f aca="false">H90*Fees!$B$3-N90-O90</f>
        <v>-192</v>
      </c>
    </row>
    <row r="91" customFormat="false" ht="15" hidden="false" customHeight="false" outlineLevel="0" collapsed="false">
      <c r="A91" s="3" t="n">
        <v>89</v>
      </c>
      <c r="B91" s="4" t="n">
        <v>44834.375</v>
      </c>
      <c r="C91" s="4" t="n">
        <v>44834.4583333333</v>
      </c>
      <c r="D91" s="3" t="n">
        <v>2</v>
      </c>
      <c r="E91" s="5" t="n">
        <v>19293</v>
      </c>
      <c r="F91" s="5" t="n">
        <v>19682.09</v>
      </c>
      <c r="G91" s="3" t="s">
        <v>21</v>
      </c>
      <c r="H91" s="5" t="n">
        <f aca="false">E91-F91</f>
        <v>-389.09</v>
      </c>
      <c r="I91" s="6" t="n">
        <f aca="false">MAX(Fees!$B$6,Fees!$B$5*Fees!$B$4*E91)+MAX(Fees!$B$6,Fees!$B$5*Fees!$B$4*F91)</f>
        <v>0.3</v>
      </c>
      <c r="J91" s="6" t="n">
        <f aca="false">2*Fees!$B$8</f>
        <v>0.3</v>
      </c>
      <c r="K91" s="6" t="n">
        <f aca="false">2*Fees!$B$10</f>
        <v>5</v>
      </c>
      <c r="L91" s="5" t="n">
        <f aca="false">I91*Fees!$B$3/Fees!$B$4</f>
        <v>30</v>
      </c>
      <c r="M91" s="5" t="n">
        <f aca="false">J91*Fees!$B$3/Fees!$B$7</f>
        <v>30</v>
      </c>
      <c r="N91" s="5" t="n">
        <f aca="false">K91*Fees!$B$3/Fees!$B$9</f>
        <v>50</v>
      </c>
      <c r="O91" s="5" t="n">
        <f aca="false">2*Fees!$B$11*Fees!$B$3</f>
        <v>20</v>
      </c>
      <c r="P91" s="5" t="n">
        <f aca="false">H91*Fees!$B$3-L91-O91</f>
        <v>-439.09</v>
      </c>
      <c r="Q91" s="5" t="n">
        <f aca="false">H91*Fees!$B$3-M91-O91</f>
        <v>-439.09</v>
      </c>
      <c r="R91" s="5" t="n">
        <f aca="false">H91*Fees!$B$3-N91-O91</f>
        <v>-459.09</v>
      </c>
    </row>
    <row r="92" customFormat="false" ht="15" hidden="false" customHeight="false" outlineLevel="0" collapsed="false">
      <c r="A92" s="3" t="n">
        <v>90</v>
      </c>
      <c r="B92" s="4" t="n">
        <v>44849.2083333333</v>
      </c>
      <c r="C92" s="4" t="n">
        <v>44849.375</v>
      </c>
      <c r="D92" s="3" t="n">
        <v>4</v>
      </c>
      <c r="E92" s="5" t="n">
        <v>19069</v>
      </c>
      <c r="F92" s="5" t="n">
        <v>19169</v>
      </c>
      <c r="G92" s="3" t="s">
        <v>19</v>
      </c>
      <c r="H92" s="5" t="n">
        <f aca="false">E92-F92</f>
        <v>-100</v>
      </c>
      <c r="I92" s="6" t="n">
        <f aca="false">MAX(Fees!$B$6,Fees!$B$5*Fees!$B$4*E92)+MAX(Fees!$B$6,Fees!$B$5*Fees!$B$4*F92)</f>
        <v>0.3</v>
      </c>
      <c r="J92" s="6" t="n">
        <f aca="false">2*Fees!$B$8</f>
        <v>0.3</v>
      </c>
      <c r="K92" s="6" t="n">
        <f aca="false">2*Fees!$B$10</f>
        <v>5</v>
      </c>
      <c r="L92" s="5" t="n">
        <f aca="false">I92*Fees!$B$3/Fees!$B$4</f>
        <v>30</v>
      </c>
      <c r="M92" s="5" t="n">
        <f aca="false">J92*Fees!$B$3/Fees!$B$7</f>
        <v>30</v>
      </c>
      <c r="N92" s="5" t="n">
        <f aca="false">K92*Fees!$B$3/Fees!$B$9</f>
        <v>50</v>
      </c>
      <c r="O92" s="5" t="n">
        <f aca="false">2*Fees!$B$11*Fees!$B$3</f>
        <v>20</v>
      </c>
      <c r="P92" s="5" t="n">
        <f aca="false">H92*Fees!$B$3-L92-O92</f>
        <v>-150</v>
      </c>
      <c r="Q92" s="5" t="n">
        <f aca="false">H92*Fees!$B$3-M92-O92</f>
        <v>-150</v>
      </c>
      <c r="R92" s="5" t="n">
        <f aca="false">H92*Fees!$B$3-N92-O92</f>
        <v>-170</v>
      </c>
    </row>
    <row r="93" customFormat="false" ht="15" hidden="false" customHeight="false" outlineLevel="0" collapsed="false">
      <c r="A93" s="3" t="n">
        <v>91</v>
      </c>
      <c r="B93" s="4" t="n">
        <v>44890</v>
      </c>
      <c r="C93" s="4" t="n">
        <v>44890.3333333333</v>
      </c>
      <c r="D93" s="3" t="n">
        <v>8</v>
      </c>
      <c r="E93" s="5" t="n">
        <v>16366</v>
      </c>
      <c r="F93" s="5" t="n">
        <v>16501</v>
      </c>
      <c r="G93" s="3" t="s">
        <v>19</v>
      </c>
      <c r="H93" s="5" t="n">
        <f aca="false">E93-F93</f>
        <v>-135</v>
      </c>
      <c r="I93" s="6" t="n">
        <f aca="false">MAX(Fees!$B$6,Fees!$B$5*Fees!$B$4*E93)+MAX(Fees!$B$6,Fees!$B$5*Fees!$B$4*F93)</f>
        <v>0.3</v>
      </c>
      <c r="J93" s="6" t="n">
        <f aca="false">2*Fees!$B$8</f>
        <v>0.3</v>
      </c>
      <c r="K93" s="6" t="n">
        <f aca="false">2*Fees!$B$10</f>
        <v>5</v>
      </c>
      <c r="L93" s="5" t="n">
        <f aca="false">I93*Fees!$B$3/Fees!$B$4</f>
        <v>30</v>
      </c>
      <c r="M93" s="5" t="n">
        <f aca="false">J93*Fees!$B$3/Fees!$B$7</f>
        <v>30</v>
      </c>
      <c r="N93" s="5" t="n">
        <f aca="false">K93*Fees!$B$3/Fees!$B$9</f>
        <v>50</v>
      </c>
      <c r="O93" s="5" t="n">
        <f aca="false">2*Fees!$B$11*Fees!$B$3</f>
        <v>20</v>
      </c>
      <c r="P93" s="5" t="n">
        <f aca="false">H93*Fees!$B$3-L93-O93</f>
        <v>-185</v>
      </c>
      <c r="Q93" s="5" t="n">
        <f aca="false">H93*Fees!$B$3-M93-O93</f>
        <v>-185</v>
      </c>
      <c r="R93" s="5" t="n">
        <f aca="false">H93*Fees!$B$3-N93-O93</f>
        <v>-205</v>
      </c>
    </row>
    <row r="94" customFormat="false" ht="15" hidden="false" customHeight="false" outlineLevel="0" collapsed="false">
      <c r="A94" s="3" t="n">
        <v>92</v>
      </c>
      <c r="B94" s="4" t="n">
        <v>44898.7916666667</v>
      </c>
      <c r="C94" s="4" t="n">
        <v>44898.875</v>
      </c>
      <c r="D94" s="3" t="n">
        <v>2</v>
      </c>
      <c r="E94" s="5" t="n">
        <v>16886</v>
      </c>
      <c r="F94" s="5" t="n">
        <v>16998.27</v>
      </c>
      <c r="G94" s="3" t="s">
        <v>21</v>
      </c>
      <c r="H94" s="5" t="n">
        <f aca="false">E94-F94</f>
        <v>-112.27</v>
      </c>
      <c r="I94" s="6" t="n">
        <f aca="false">MAX(Fees!$B$6,Fees!$B$5*Fees!$B$4*E94)+MAX(Fees!$B$6,Fees!$B$5*Fees!$B$4*F94)</f>
        <v>0.3</v>
      </c>
      <c r="J94" s="6" t="n">
        <f aca="false">2*Fees!$B$8</f>
        <v>0.3</v>
      </c>
      <c r="K94" s="6" t="n">
        <f aca="false">2*Fees!$B$10</f>
        <v>5</v>
      </c>
      <c r="L94" s="5" t="n">
        <f aca="false">I94*Fees!$B$3/Fees!$B$4</f>
        <v>30</v>
      </c>
      <c r="M94" s="5" t="n">
        <f aca="false">J94*Fees!$B$3/Fees!$B$7</f>
        <v>30</v>
      </c>
      <c r="N94" s="5" t="n">
        <f aca="false">K94*Fees!$B$3/Fees!$B$9</f>
        <v>50</v>
      </c>
      <c r="O94" s="5" t="n">
        <f aca="false">2*Fees!$B$11*Fees!$B$3</f>
        <v>20</v>
      </c>
      <c r="P94" s="5" t="n">
        <f aca="false">H94*Fees!$B$3-L94-O94</f>
        <v>-162.27</v>
      </c>
      <c r="Q94" s="5" t="n">
        <f aca="false">H94*Fees!$B$3-M94-O94</f>
        <v>-162.27</v>
      </c>
      <c r="R94" s="5" t="n">
        <f aca="false">H94*Fees!$B$3-N94-O94</f>
        <v>-182.27</v>
      </c>
    </row>
    <row r="95" customFormat="false" ht="15" hidden="false" customHeight="false" outlineLevel="0" collapsed="false">
      <c r="A95" s="3" t="n">
        <v>93</v>
      </c>
      <c r="B95" s="4" t="n">
        <v>44911.3333333333</v>
      </c>
      <c r="C95" s="4" t="n">
        <v>44912.7916666667</v>
      </c>
      <c r="D95" s="3" t="n">
        <v>35</v>
      </c>
      <c r="E95" s="5" t="n">
        <v>17033</v>
      </c>
      <c r="F95" s="5" t="n">
        <v>16781</v>
      </c>
      <c r="G95" s="3" t="s">
        <v>20</v>
      </c>
      <c r="H95" s="5" t="n">
        <f aca="false">E95-F95</f>
        <v>252</v>
      </c>
      <c r="I95" s="6" t="n">
        <f aca="false">MAX(Fees!$B$6,Fees!$B$5*Fees!$B$4*E95)+MAX(Fees!$B$6,Fees!$B$5*Fees!$B$4*F95)</f>
        <v>0.3</v>
      </c>
      <c r="J95" s="6" t="n">
        <f aca="false">2*Fees!$B$8</f>
        <v>0.3</v>
      </c>
      <c r="K95" s="6" t="n">
        <f aca="false">2*Fees!$B$10</f>
        <v>5</v>
      </c>
      <c r="L95" s="5" t="n">
        <f aca="false">I95*Fees!$B$3/Fees!$B$4</f>
        <v>30</v>
      </c>
      <c r="M95" s="5" t="n">
        <f aca="false">J95*Fees!$B$3/Fees!$B$7</f>
        <v>30</v>
      </c>
      <c r="N95" s="5" t="n">
        <f aca="false">K95*Fees!$B$3/Fees!$B$9</f>
        <v>50</v>
      </c>
      <c r="O95" s="5" t="n">
        <f aca="false">2*Fees!$B$11*Fees!$B$3</f>
        <v>20</v>
      </c>
      <c r="P95" s="5" t="n">
        <f aca="false">H95*Fees!$B$3-L95-O95</f>
        <v>202</v>
      </c>
      <c r="Q95" s="5" t="n">
        <f aca="false">H95*Fees!$B$3-M95-O95</f>
        <v>202</v>
      </c>
      <c r="R95" s="5" t="n">
        <f aca="false">H95*Fees!$B$3-N95-O95</f>
        <v>182</v>
      </c>
    </row>
    <row r="96" customFormat="false" ht="15" hidden="false" customHeight="false" outlineLevel="0" collapsed="false">
      <c r="A96" s="3" t="n">
        <v>94</v>
      </c>
      <c r="B96" s="4" t="n">
        <v>44914.5</v>
      </c>
      <c r="C96" s="4" t="n">
        <v>44914.9166666667</v>
      </c>
      <c r="D96" s="3" t="n">
        <v>10</v>
      </c>
      <c r="E96" s="5" t="n">
        <v>16633</v>
      </c>
      <c r="F96" s="5" t="n">
        <v>16795.05</v>
      </c>
      <c r="G96" s="3" t="s">
        <v>21</v>
      </c>
      <c r="H96" s="5" t="n">
        <f aca="false">E96-F96</f>
        <v>-162.049999999999</v>
      </c>
      <c r="I96" s="6" t="n">
        <f aca="false">MAX(Fees!$B$6,Fees!$B$5*Fees!$B$4*E96)+MAX(Fees!$B$6,Fees!$B$5*Fees!$B$4*F96)</f>
        <v>0.3</v>
      </c>
      <c r="J96" s="6" t="n">
        <f aca="false">2*Fees!$B$8</f>
        <v>0.3</v>
      </c>
      <c r="K96" s="6" t="n">
        <f aca="false">2*Fees!$B$10</f>
        <v>5</v>
      </c>
      <c r="L96" s="5" t="n">
        <f aca="false">I96*Fees!$B$3/Fees!$B$4</f>
        <v>30</v>
      </c>
      <c r="M96" s="5" t="n">
        <f aca="false">J96*Fees!$B$3/Fees!$B$7</f>
        <v>30</v>
      </c>
      <c r="N96" s="5" t="n">
        <f aca="false">K96*Fees!$B$3/Fees!$B$9</f>
        <v>50</v>
      </c>
      <c r="O96" s="5" t="n">
        <f aca="false">2*Fees!$B$11*Fees!$B$3</f>
        <v>20</v>
      </c>
      <c r="P96" s="5" t="n">
        <f aca="false">H96*Fees!$B$3-L96-O96</f>
        <v>-212.049999999999</v>
      </c>
      <c r="Q96" s="5" t="n">
        <f aca="false">H96*Fees!$B$3-M96-O96</f>
        <v>-212.049999999999</v>
      </c>
      <c r="R96" s="5" t="n">
        <f aca="false">H96*Fees!$B$3-N96-O96</f>
        <v>-232.049999999999</v>
      </c>
    </row>
    <row r="97" customFormat="false" ht="15" hidden="false" customHeight="false" outlineLevel="0" collapsed="false">
      <c r="A97" s="3" t="n">
        <v>95</v>
      </c>
      <c r="B97" s="4" t="n">
        <v>44917.4166666667</v>
      </c>
      <c r="C97" s="4" t="n">
        <v>44917.75</v>
      </c>
      <c r="D97" s="3" t="n">
        <v>8</v>
      </c>
      <c r="E97" s="5" t="n">
        <v>16676</v>
      </c>
      <c r="F97" s="5" t="n">
        <v>16802</v>
      </c>
      <c r="G97" s="3" t="s">
        <v>19</v>
      </c>
      <c r="H97" s="5" t="n">
        <f aca="false">E97-F97</f>
        <v>-126</v>
      </c>
      <c r="I97" s="6" t="n">
        <f aca="false">MAX(Fees!$B$6,Fees!$B$5*Fees!$B$4*E97)+MAX(Fees!$B$6,Fees!$B$5*Fees!$B$4*F97)</f>
        <v>0.3</v>
      </c>
      <c r="J97" s="6" t="n">
        <f aca="false">2*Fees!$B$8</f>
        <v>0.3</v>
      </c>
      <c r="K97" s="6" t="n">
        <f aca="false">2*Fees!$B$10</f>
        <v>5</v>
      </c>
      <c r="L97" s="5" t="n">
        <f aca="false">I97*Fees!$B$3/Fees!$B$4</f>
        <v>30</v>
      </c>
      <c r="M97" s="5" t="n">
        <f aca="false">J97*Fees!$B$3/Fees!$B$7</f>
        <v>30</v>
      </c>
      <c r="N97" s="5" t="n">
        <f aca="false">K97*Fees!$B$3/Fees!$B$9</f>
        <v>50</v>
      </c>
      <c r="O97" s="5" t="n">
        <f aca="false">2*Fees!$B$11*Fees!$B$3</f>
        <v>20</v>
      </c>
      <c r="P97" s="5" t="n">
        <f aca="false">H97*Fees!$B$3-L97-O97</f>
        <v>-176</v>
      </c>
      <c r="Q97" s="5" t="n">
        <f aca="false">H97*Fees!$B$3-M97-O97</f>
        <v>-176</v>
      </c>
      <c r="R97" s="5" t="n">
        <f aca="false">H97*Fees!$B$3-N97-O97</f>
        <v>-196</v>
      </c>
    </row>
    <row r="98" customFormat="false" ht="15" hidden="false" customHeight="false" outlineLevel="0" collapsed="false">
      <c r="A98" s="3" t="n">
        <v>96</v>
      </c>
      <c r="B98" s="4" t="n">
        <v>44929.5</v>
      </c>
      <c r="C98" s="4" t="n">
        <v>44929.875</v>
      </c>
      <c r="D98" s="3" t="n">
        <v>9</v>
      </c>
      <c r="E98" s="5" t="n">
        <v>16617</v>
      </c>
      <c r="F98" s="5" t="n">
        <v>16695</v>
      </c>
      <c r="G98" s="3" t="s">
        <v>19</v>
      </c>
      <c r="H98" s="5" t="n">
        <f aca="false">E98-F98</f>
        <v>-78</v>
      </c>
      <c r="I98" s="6" t="n">
        <f aca="false">MAX(Fees!$B$6,Fees!$B$5*Fees!$B$4*E98)+MAX(Fees!$B$6,Fees!$B$5*Fees!$B$4*F98)</f>
        <v>0.3</v>
      </c>
      <c r="J98" s="6" t="n">
        <f aca="false">2*Fees!$B$8</f>
        <v>0.3</v>
      </c>
      <c r="K98" s="6" t="n">
        <f aca="false">2*Fees!$B$10</f>
        <v>5</v>
      </c>
      <c r="L98" s="5" t="n">
        <f aca="false">I98*Fees!$B$3/Fees!$B$4</f>
        <v>30</v>
      </c>
      <c r="M98" s="5" t="n">
        <f aca="false">J98*Fees!$B$3/Fees!$B$7</f>
        <v>30</v>
      </c>
      <c r="N98" s="5" t="n">
        <f aca="false">K98*Fees!$B$3/Fees!$B$9</f>
        <v>50</v>
      </c>
      <c r="O98" s="5" t="n">
        <f aca="false">2*Fees!$B$11*Fees!$B$3</f>
        <v>20</v>
      </c>
      <c r="P98" s="5" t="n">
        <f aca="false">H98*Fees!$B$3-L98-O98</f>
        <v>-128</v>
      </c>
      <c r="Q98" s="5" t="n">
        <f aca="false">H98*Fees!$B$3-M98-O98</f>
        <v>-128</v>
      </c>
      <c r="R98" s="5" t="n">
        <f aca="false">H98*Fees!$B$3-N98-O98</f>
        <v>-148</v>
      </c>
    </row>
    <row r="99" customFormat="false" ht="15" hidden="false" customHeight="false" outlineLevel="0" collapsed="false">
      <c r="A99" s="3" t="n">
        <v>97</v>
      </c>
      <c r="B99" s="4" t="n">
        <v>44932.2916666667</v>
      </c>
      <c r="C99" s="4" t="n">
        <v>44932.5</v>
      </c>
      <c r="D99" s="3" t="n">
        <v>5</v>
      </c>
      <c r="E99" s="5" t="n">
        <v>16733</v>
      </c>
      <c r="F99" s="5" t="n">
        <v>16823</v>
      </c>
      <c r="G99" s="3" t="s">
        <v>19</v>
      </c>
      <c r="H99" s="5" t="n">
        <f aca="false">E99-F99</f>
        <v>-90</v>
      </c>
      <c r="I99" s="6" t="n">
        <f aca="false">MAX(Fees!$B$6,Fees!$B$5*Fees!$B$4*E99)+MAX(Fees!$B$6,Fees!$B$5*Fees!$B$4*F99)</f>
        <v>0.3</v>
      </c>
      <c r="J99" s="6" t="n">
        <f aca="false">2*Fees!$B$8</f>
        <v>0.3</v>
      </c>
      <c r="K99" s="6" t="n">
        <f aca="false">2*Fees!$B$10</f>
        <v>5</v>
      </c>
      <c r="L99" s="5" t="n">
        <f aca="false">I99*Fees!$B$3/Fees!$B$4</f>
        <v>30</v>
      </c>
      <c r="M99" s="5" t="n">
        <f aca="false">J99*Fees!$B$3/Fees!$B$7</f>
        <v>30</v>
      </c>
      <c r="N99" s="5" t="n">
        <f aca="false">K99*Fees!$B$3/Fees!$B$9</f>
        <v>50</v>
      </c>
      <c r="O99" s="5" t="n">
        <f aca="false">2*Fees!$B$11*Fees!$B$3</f>
        <v>20</v>
      </c>
      <c r="P99" s="5" t="n">
        <f aca="false">H99*Fees!$B$3-L99-O99</f>
        <v>-140</v>
      </c>
      <c r="Q99" s="5" t="n">
        <f aca="false">H99*Fees!$B$3-M99-O99</f>
        <v>-140</v>
      </c>
      <c r="R99" s="5" t="n">
        <f aca="false">H99*Fees!$B$3-N99-O99</f>
        <v>-160</v>
      </c>
    </row>
    <row r="100" customFormat="false" ht="15" hidden="false" customHeight="false" outlineLevel="0" collapsed="false">
      <c r="A100" s="3" t="n">
        <v>98</v>
      </c>
      <c r="B100" s="4" t="n">
        <v>44992.7916666667</v>
      </c>
      <c r="C100" s="4" t="n">
        <v>44997.5833333333</v>
      </c>
      <c r="D100" s="3" t="n">
        <v>114</v>
      </c>
      <c r="E100" s="5" t="n">
        <v>22200</v>
      </c>
      <c r="F100" s="5" t="n">
        <v>21034</v>
      </c>
      <c r="G100" s="3" t="s">
        <v>20</v>
      </c>
      <c r="H100" s="5" t="n">
        <f aca="false">E100-F100</f>
        <v>1166</v>
      </c>
      <c r="I100" s="6" t="n">
        <f aca="false">MAX(Fees!$B$6,Fees!$B$5*Fees!$B$4*E100)+MAX(Fees!$B$6,Fees!$B$5*Fees!$B$4*F100)</f>
        <v>0.3</v>
      </c>
      <c r="J100" s="6" t="n">
        <f aca="false">2*Fees!$B$8</f>
        <v>0.3</v>
      </c>
      <c r="K100" s="6" t="n">
        <f aca="false">2*Fees!$B$10</f>
        <v>5</v>
      </c>
      <c r="L100" s="5" t="n">
        <f aca="false">I100*Fees!$B$3/Fees!$B$4</f>
        <v>30</v>
      </c>
      <c r="M100" s="5" t="n">
        <f aca="false">J100*Fees!$B$3/Fees!$B$7</f>
        <v>30</v>
      </c>
      <c r="N100" s="5" t="n">
        <f aca="false">K100*Fees!$B$3/Fees!$B$9</f>
        <v>50</v>
      </c>
      <c r="O100" s="5" t="n">
        <f aca="false">2*Fees!$B$11*Fees!$B$3</f>
        <v>20</v>
      </c>
      <c r="P100" s="5" t="n">
        <f aca="false">H100*Fees!$B$3-L100-O100</f>
        <v>1116</v>
      </c>
      <c r="Q100" s="5" t="n">
        <f aca="false">H100*Fees!$B$3-M100-O100</f>
        <v>1116</v>
      </c>
      <c r="R100" s="5" t="n">
        <f aca="false">H100*Fees!$B$3-N100-O100</f>
        <v>1096</v>
      </c>
    </row>
    <row r="101" customFormat="false" ht="15" hidden="false" customHeight="false" outlineLevel="0" collapsed="false">
      <c r="A101" s="3" t="n">
        <v>99</v>
      </c>
      <c r="B101" s="4" t="n">
        <v>45057.9583333333</v>
      </c>
      <c r="C101" s="4" t="n">
        <v>45059.6666666667</v>
      </c>
      <c r="D101" s="3" t="n">
        <v>41</v>
      </c>
      <c r="E101" s="5" t="n">
        <v>26658</v>
      </c>
      <c r="F101" s="5" t="n">
        <v>26853</v>
      </c>
      <c r="G101" s="3" t="s">
        <v>19</v>
      </c>
      <c r="H101" s="5" t="n">
        <f aca="false">E101-F101</f>
        <v>-195</v>
      </c>
      <c r="I101" s="6" t="n">
        <f aca="false">MAX(Fees!$B$6,Fees!$B$5*Fees!$B$4*E101)+MAX(Fees!$B$6,Fees!$B$5*Fees!$B$4*F101)</f>
        <v>0.3</v>
      </c>
      <c r="J101" s="6" t="n">
        <f aca="false">2*Fees!$B$8</f>
        <v>0.3</v>
      </c>
      <c r="K101" s="6" t="n">
        <f aca="false">2*Fees!$B$10</f>
        <v>5</v>
      </c>
      <c r="L101" s="5" t="n">
        <f aca="false">I101*Fees!$B$3/Fees!$B$4</f>
        <v>30</v>
      </c>
      <c r="M101" s="5" t="n">
        <f aca="false">J101*Fees!$B$3/Fees!$B$7</f>
        <v>30</v>
      </c>
      <c r="N101" s="5" t="n">
        <f aca="false">K101*Fees!$B$3/Fees!$B$9</f>
        <v>50</v>
      </c>
      <c r="O101" s="5" t="n">
        <f aca="false">2*Fees!$B$11*Fees!$B$3</f>
        <v>20</v>
      </c>
      <c r="P101" s="5" t="n">
        <f aca="false">H101*Fees!$B$3-L101-O101</f>
        <v>-245</v>
      </c>
      <c r="Q101" s="5" t="n">
        <f aca="false">H101*Fees!$B$3-M101-O101</f>
        <v>-245</v>
      </c>
      <c r="R101" s="5" t="n">
        <f aca="false">H101*Fees!$B$3-N101-O101</f>
        <v>-265</v>
      </c>
    </row>
    <row r="102" customFormat="false" ht="15" hidden="false" customHeight="false" outlineLevel="0" collapsed="false">
      <c r="A102" s="3" t="n">
        <v>100</v>
      </c>
      <c r="B102" s="4" t="n">
        <v>45064.5833333333</v>
      </c>
      <c r="C102" s="4" t="n">
        <v>45066.875</v>
      </c>
      <c r="D102" s="3" t="n">
        <v>55</v>
      </c>
      <c r="E102" s="5" t="n">
        <v>26496</v>
      </c>
      <c r="F102" s="5" t="n">
        <v>27252</v>
      </c>
      <c r="G102" s="3" t="s">
        <v>20</v>
      </c>
      <c r="H102" s="5" t="n">
        <f aca="false">E102-F102</f>
        <v>-756</v>
      </c>
      <c r="I102" s="6" t="n">
        <f aca="false">MAX(Fees!$B$6,Fees!$B$5*Fees!$B$4*E102)+MAX(Fees!$B$6,Fees!$B$5*Fees!$B$4*F102)</f>
        <v>0.3</v>
      </c>
      <c r="J102" s="6" t="n">
        <f aca="false">2*Fees!$B$8</f>
        <v>0.3</v>
      </c>
      <c r="K102" s="6" t="n">
        <f aca="false">2*Fees!$B$10</f>
        <v>5</v>
      </c>
      <c r="L102" s="5" t="n">
        <f aca="false">I102*Fees!$B$3/Fees!$B$4</f>
        <v>30</v>
      </c>
      <c r="M102" s="5" t="n">
        <f aca="false">J102*Fees!$B$3/Fees!$B$7</f>
        <v>30</v>
      </c>
      <c r="N102" s="5" t="n">
        <f aca="false">K102*Fees!$B$3/Fees!$B$9</f>
        <v>50</v>
      </c>
      <c r="O102" s="5" t="n">
        <f aca="false">2*Fees!$B$11*Fees!$B$3</f>
        <v>20</v>
      </c>
      <c r="P102" s="5" t="n">
        <f aca="false">H102*Fees!$B$3-L102-O102</f>
        <v>-806</v>
      </c>
      <c r="Q102" s="5" t="n">
        <f aca="false">H102*Fees!$B$3-M102-O102</f>
        <v>-806</v>
      </c>
      <c r="R102" s="5" t="n">
        <f aca="false">H102*Fees!$B$3-N102-O102</f>
        <v>-826</v>
      </c>
    </row>
    <row r="103" customFormat="false" ht="15" hidden="false" customHeight="false" outlineLevel="0" collapsed="false">
      <c r="A103" s="3" t="n">
        <v>101</v>
      </c>
      <c r="B103" s="4" t="n">
        <v>45070</v>
      </c>
      <c r="C103" s="4" t="n">
        <v>45071.7083333333</v>
      </c>
      <c r="D103" s="3" t="n">
        <v>41</v>
      </c>
      <c r="E103" s="5" t="n">
        <v>26790</v>
      </c>
      <c r="F103" s="5" t="n">
        <v>26490</v>
      </c>
      <c r="G103" s="3" t="s">
        <v>20</v>
      </c>
      <c r="H103" s="5" t="n">
        <f aca="false">E103-F103</f>
        <v>300</v>
      </c>
      <c r="I103" s="6" t="n">
        <f aca="false">MAX(Fees!$B$6,Fees!$B$5*Fees!$B$4*E103)+MAX(Fees!$B$6,Fees!$B$5*Fees!$B$4*F103)</f>
        <v>0.3</v>
      </c>
      <c r="J103" s="6" t="n">
        <f aca="false">2*Fees!$B$8</f>
        <v>0.3</v>
      </c>
      <c r="K103" s="6" t="n">
        <f aca="false">2*Fees!$B$10</f>
        <v>5</v>
      </c>
      <c r="L103" s="5" t="n">
        <f aca="false">I103*Fees!$B$3/Fees!$B$4</f>
        <v>30</v>
      </c>
      <c r="M103" s="5" t="n">
        <f aca="false">J103*Fees!$B$3/Fees!$B$7</f>
        <v>30</v>
      </c>
      <c r="N103" s="5" t="n">
        <f aca="false">K103*Fees!$B$3/Fees!$B$9</f>
        <v>50</v>
      </c>
      <c r="O103" s="5" t="n">
        <f aca="false">2*Fees!$B$11*Fees!$B$3</f>
        <v>20</v>
      </c>
      <c r="P103" s="5" t="n">
        <f aca="false">H103*Fees!$B$3-L103-O103</f>
        <v>250</v>
      </c>
      <c r="Q103" s="5" t="n">
        <f aca="false">H103*Fees!$B$3-M103-O103</f>
        <v>250</v>
      </c>
      <c r="R103" s="5" t="n">
        <f aca="false">H103*Fees!$B$3-N103-O103</f>
        <v>230</v>
      </c>
    </row>
    <row r="104" customFormat="false" ht="15" hidden="false" customHeight="false" outlineLevel="0" collapsed="false">
      <c r="A104" s="3" t="n">
        <v>102</v>
      </c>
      <c r="B104" s="4" t="n">
        <v>45073.4166666667</v>
      </c>
      <c r="C104" s="4" t="n">
        <v>45073.625</v>
      </c>
      <c r="D104" s="3" t="n">
        <v>5</v>
      </c>
      <c r="E104" s="5" t="n">
        <v>26633</v>
      </c>
      <c r="F104" s="5" t="n">
        <v>26814.05</v>
      </c>
      <c r="G104" s="3" t="s">
        <v>21</v>
      </c>
      <c r="H104" s="5" t="n">
        <f aca="false">E104-F104</f>
        <v>-181.049999999999</v>
      </c>
      <c r="I104" s="6" t="n">
        <f aca="false">MAX(Fees!$B$6,Fees!$B$5*Fees!$B$4*E104)+MAX(Fees!$B$6,Fees!$B$5*Fees!$B$4*F104)</f>
        <v>0.3</v>
      </c>
      <c r="J104" s="6" t="n">
        <f aca="false">2*Fees!$B$8</f>
        <v>0.3</v>
      </c>
      <c r="K104" s="6" t="n">
        <f aca="false">2*Fees!$B$10</f>
        <v>5</v>
      </c>
      <c r="L104" s="5" t="n">
        <f aca="false">I104*Fees!$B$3/Fees!$B$4</f>
        <v>30</v>
      </c>
      <c r="M104" s="5" t="n">
        <f aca="false">J104*Fees!$B$3/Fees!$B$7</f>
        <v>30</v>
      </c>
      <c r="N104" s="5" t="n">
        <f aca="false">K104*Fees!$B$3/Fees!$B$9</f>
        <v>50</v>
      </c>
      <c r="O104" s="5" t="n">
        <f aca="false">2*Fees!$B$11*Fees!$B$3</f>
        <v>20</v>
      </c>
      <c r="P104" s="5" t="n">
        <f aca="false">H104*Fees!$B$3-L104-O104</f>
        <v>-231.049999999999</v>
      </c>
      <c r="Q104" s="5" t="n">
        <f aca="false">H104*Fees!$B$3-M104-O104</f>
        <v>-231.049999999999</v>
      </c>
      <c r="R104" s="5" t="n">
        <f aca="false">H104*Fees!$B$3-N104-O104</f>
        <v>-251.049999999999</v>
      </c>
    </row>
    <row r="105" customFormat="false" ht="15" hidden="false" customHeight="false" outlineLevel="0" collapsed="false">
      <c r="A105" s="3" t="n">
        <v>103</v>
      </c>
      <c r="B105" s="4" t="n">
        <v>45077.8333333333</v>
      </c>
      <c r="C105" s="4" t="n">
        <v>45079.7916666667</v>
      </c>
      <c r="D105" s="3" t="n">
        <v>47</v>
      </c>
      <c r="E105" s="5" t="n">
        <v>27219</v>
      </c>
      <c r="F105" s="5" t="n">
        <v>27276</v>
      </c>
      <c r="G105" s="3" t="s">
        <v>20</v>
      </c>
      <c r="H105" s="5" t="n">
        <f aca="false">E105-F105</f>
        <v>-57</v>
      </c>
      <c r="I105" s="6" t="n">
        <f aca="false">MAX(Fees!$B$6,Fees!$B$5*Fees!$B$4*E105)+MAX(Fees!$B$6,Fees!$B$5*Fees!$B$4*F105)</f>
        <v>0.3</v>
      </c>
      <c r="J105" s="6" t="n">
        <f aca="false">2*Fees!$B$8</f>
        <v>0.3</v>
      </c>
      <c r="K105" s="6" t="n">
        <f aca="false">2*Fees!$B$10</f>
        <v>5</v>
      </c>
      <c r="L105" s="5" t="n">
        <f aca="false">I105*Fees!$B$3/Fees!$B$4</f>
        <v>30</v>
      </c>
      <c r="M105" s="5" t="n">
        <f aca="false">J105*Fees!$B$3/Fees!$B$7</f>
        <v>30</v>
      </c>
      <c r="N105" s="5" t="n">
        <f aca="false">K105*Fees!$B$3/Fees!$B$9</f>
        <v>50</v>
      </c>
      <c r="O105" s="5" t="n">
        <f aca="false">2*Fees!$B$11*Fees!$B$3</f>
        <v>20</v>
      </c>
      <c r="P105" s="5" t="n">
        <f aca="false">H105*Fees!$B$3-L105-O105</f>
        <v>-107</v>
      </c>
      <c r="Q105" s="5" t="n">
        <f aca="false">H105*Fees!$B$3-M105-O105</f>
        <v>-107</v>
      </c>
      <c r="R105" s="5" t="n">
        <f aca="false">H105*Fees!$B$3-N105-O105</f>
        <v>-127</v>
      </c>
    </row>
    <row r="106" customFormat="false" ht="15" hidden="false" customHeight="false" outlineLevel="0" collapsed="false">
      <c r="A106" s="3" t="n">
        <v>104</v>
      </c>
      <c r="B106" s="4" t="n">
        <v>45080.6666666667</v>
      </c>
      <c r="C106" s="4" t="n">
        <v>45081.1666666667</v>
      </c>
      <c r="D106" s="3" t="n">
        <v>12</v>
      </c>
      <c r="E106" s="5" t="n">
        <v>27109</v>
      </c>
      <c r="F106" s="5" t="n">
        <v>27149</v>
      </c>
      <c r="G106" s="3" t="s">
        <v>19</v>
      </c>
      <c r="H106" s="5" t="n">
        <f aca="false">E106-F106</f>
        <v>-40</v>
      </c>
      <c r="I106" s="6" t="n">
        <f aca="false">MAX(Fees!$B$6,Fees!$B$5*Fees!$B$4*E106)+MAX(Fees!$B$6,Fees!$B$5*Fees!$B$4*F106)</f>
        <v>0.3</v>
      </c>
      <c r="J106" s="6" t="n">
        <f aca="false">2*Fees!$B$8</f>
        <v>0.3</v>
      </c>
      <c r="K106" s="6" t="n">
        <f aca="false">2*Fees!$B$10</f>
        <v>5</v>
      </c>
      <c r="L106" s="5" t="n">
        <f aca="false">I106*Fees!$B$3/Fees!$B$4</f>
        <v>30</v>
      </c>
      <c r="M106" s="5" t="n">
        <f aca="false">J106*Fees!$B$3/Fees!$B$7</f>
        <v>30</v>
      </c>
      <c r="N106" s="5" t="n">
        <f aca="false">K106*Fees!$B$3/Fees!$B$9</f>
        <v>50</v>
      </c>
      <c r="O106" s="5" t="n">
        <f aca="false">2*Fees!$B$11*Fees!$B$3</f>
        <v>20</v>
      </c>
      <c r="P106" s="5" t="n">
        <f aca="false">H106*Fees!$B$3-L106-O106</f>
        <v>-90</v>
      </c>
      <c r="Q106" s="5" t="n">
        <f aca="false">H106*Fees!$B$3-M106-O106</f>
        <v>-90</v>
      </c>
      <c r="R106" s="5" t="n">
        <f aca="false">H106*Fees!$B$3-N106-O106</f>
        <v>-110</v>
      </c>
    </row>
    <row r="107" customFormat="false" ht="15" hidden="false" customHeight="false" outlineLevel="0" collapsed="false">
      <c r="A107" s="3" t="n">
        <v>105</v>
      </c>
      <c r="B107" s="4" t="n">
        <v>45081.9583333333</v>
      </c>
      <c r="C107" s="4" t="n">
        <v>45083.8333333333</v>
      </c>
      <c r="D107" s="3" t="n">
        <v>45</v>
      </c>
      <c r="E107" s="5" t="n">
        <v>26936</v>
      </c>
      <c r="F107" s="5" t="n">
        <v>27327.47</v>
      </c>
      <c r="G107" s="3" t="s">
        <v>21</v>
      </c>
      <c r="H107" s="5" t="n">
        <f aca="false">E107-F107</f>
        <v>-391.470000000001</v>
      </c>
      <c r="I107" s="6" t="n">
        <f aca="false">MAX(Fees!$B$6,Fees!$B$5*Fees!$B$4*E107)+MAX(Fees!$B$6,Fees!$B$5*Fees!$B$4*F107)</f>
        <v>0.3</v>
      </c>
      <c r="J107" s="6" t="n">
        <f aca="false">2*Fees!$B$8</f>
        <v>0.3</v>
      </c>
      <c r="K107" s="6" t="n">
        <f aca="false">2*Fees!$B$10</f>
        <v>5</v>
      </c>
      <c r="L107" s="5" t="n">
        <f aca="false">I107*Fees!$B$3/Fees!$B$4</f>
        <v>30</v>
      </c>
      <c r="M107" s="5" t="n">
        <f aca="false">J107*Fees!$B$3/Fees!$B$7</f>
        <v>30</v>
      </c>
      <c r="N107" s="5" t="n">
        <f aca="false">K107*Fees!$B$3/Fees!$B$9</f>
        <v>50</v>
      </c>
      <c r="O107" s="5" t="n">
        <f aca="false">2*Fees!$B$11*Fees!$B$3</f>
        <v>20</v>
      </c>
      <c r="P107" s="5" t="n">
        <f aca="false">H107*Fees!$B$3-L107-O107</f>
        <v>-441.470000000001</v>
      </c>
      <c r="Q107" s="5" t="n">
        <f aca="false">H107*Fees!$B$3-M107-O107</f>
        <v>-441.470000000001</v>
      </c>
      <c r="R107" s="5" t="n">
        <f aca="false">H107*Fees!$B$3-N107-O107</f>
        <v>-461.470000000001</v>
      </c>
    </row>
    <row r="108" customFormat="false" ht="15" hidden="false" customHeight="false" outlineLevel="0" collapsed="false">
      <c r="A108" s="3" t="n">
        <v>106</v>
      </c>
      <c r="B108" s="4" t="n">
        <v>45134.625</v>
      </c>
      <c r="C108" s="4" t="n">
        <v>45135.0416666667</v>
      </c>
      <c r="D108" s="3" t="n">
        <v>10</v>
      </c>
      <c r="E108" s="5" t="n">
        <v>29137</v>
      </c>
      <c r="F108" s="5" t="n">
        <v>29254</v>
      </c>
      <c r="G108" s="3" t="s">
        <v>19</v>
      </c>
      <c r="H108" s="5" t="n">
        <f aca="false">E108-F108</f>
        <v>-117</v>
      </c>
      <c r="I108" s="6" t="n">
        <f aca="false">MAX(Fees!$B$6,Fees!$B$5*Fees!$B$4*E108)+MAX(Fees!$B$6,Fees!$B$5*Fees!$B$4*F108)</f>
        <v>0.3</v>
      </c>
      <c r="J108" s="6" t="n">
        <f aca="false">2*Fees!$B$8</f>
        <v>0.3</v>
      </c>
      <c r="K108" s="6" t="n">
        <f aca="false">2*Fees!$B$10</f>
        <v>5</v>
      </c>
      <c r="L108" s="5" t="n">
        <f aca="false">I108*Fees!$B$3/Fees!$B$4</f>
        <v>30</v>
      </c>
      <c r="M108" s="5" t="n">
        <f aca="false">J108*Fees!$B$3/Fees!$B$7</f>
        <v>30</v>
      </c>
      <c r="N108" s="5" t="n">
        <f aca="false">K108*Fees!$B$3/Fees!$B$9</f>
        <v>50</v>
      </c>
      <c r="O108" s="5" t="n">
        <f aca="false">2*Fees!$B$11*Fees!$B$3</f>
        <v>20</v>
      </c>
      <c r="P108" s="5" t="n">
        <f aca="false">H108*Fees!$B$3-L108-O108</f>
        <v>-167</v>
      </c>
      <c r="Q108" s="5" t="n">
        <f aca="false">H108*Fees!$B$3-M108-O108</f>
        <v>-167</v>
      </c>
      <c r="R108" s="5" t="n">
        <f aca="false">H108*Fees!$B$3-N108-O108</f>
        <v>-187</v>
      </c>
    </row>
    <row r="109" customFormat="false" ht="15" hidden="false" customHeight="false" outlineLevel="0" collapsed="false">
      <c r="A109" s="3" t="n">
        <v>107</v>
      </c>
      <c r="B109" s="4" t="n">
        <v>45173.375</v>
      </c>
      <c r="C109" s="4" t="n">
        <v>45175.5833333333</v>
      </c>
      <c r="D109" s="3" t="n">
        <v>53</v>
      </c>
      <c r="E109" s="5" t="n">
        <v>25851</v>
      </c>
      <c r="F109" s="5" t="n">
        <v>25859</v>
      </c>
      <c r="G109" s="3" t="s">
        <v>20</v>
      </c>
      <c r="H109" s="5" t="n">
        <f aca="false">E109-F109</f>
        <v>-8</v>
      </c>
      <c r="I109" s="6" t="n">
        <f aca="false">MAX(Fees!$B$6,Fees!$B$5*Fees!$B$4*E109)+MAX(Fees!$B$6,Fees!$B$5*Fees!$B$4*F109)</f>
        <v>0.3</v>
      </c>
      <c r="J109" s="6" t="n">
        <f aca="false">2*Fees!$B$8</f>
        <v>0.3</v>
      </c>
      <c r="K109" s="6" t="n">
        <f aca="false">2*Fees!$B$10</f>
        <v>5</v>
      </c>
      <c r="L109" s="5" t="n">
        <f aca="false">I109*Fees!$B$3/Fees!$B$4</f>
        <v>30</v>
      </c>
      <c r="M109" s="5" t="n">
        <f aca="false">J109*Fees!$B$3/Fees!$B$7</f>
        <v>30</v>
      </c>
      <c r="N109" s="5" t="n">
        <f aca="false">K109*Fees!$B$3/Fees!$B$9</f>
        <v>50</v>
      </c>
      <c r="O109" s="5" t="n">
        <f aca="false">2*Fees!$B$11*Fees!$B$3</f>
        <v>20</v>
      </c>
      <c r="P109" s="5" t="n">
        <f aca="false">H109*Fees!$B$3-L109-O109</f>
        <v>-58</v>
      </c>
      <c r="Q109" s="5" t="n">
        <f aca="false">H109*Fees!$B$3-M109-O109</f>
        <v>-58</v>
      </c>
      <c r="R109" s="5" t="n">
        <f aca="false">H109*Fees!$B$3-N109-O109</f>
        <v>-78</v>
      </c>
    </row>
    <row r="110" customFormat="false" ht="15" hidden="false" customHeight="false" outlineLevel="0" collapsed="false">
      <c r="A110" s="3" t="n">
        <v>108</v>
      </c>
      <c r="B110" s="4" t="n">
        <v>45184.4583333333</v>
      </c>
      <c r="C110" s="4" t="n">
        <v>45184.7916666667</v>
      </c>
      <c r="D110" s="3" t="n">
        <v>8</v>
      </c>
      <c r="E110" s="5" t="n">
        <v>26238</v>
      </c>
      <c r="F110" s="5" t="n">
        <v>26713.56</v>
      </c>
      <c r="G110" s="3" t="s">
        <v>21</v>
      </c>
      <c r="H110" s="5" t="n">
        <f aca="false">E110-F110</f>
        <v>-475.560000000001</v>
      </c>
      <c r="I110" s="6" t="n">
        <f aca="false">MAX(Fees!$B$6,Fees!$B$5*Fees!$B$4*E110)+MAX(Fees!$B$6,Fees!$B$5*Fees!$B$4*F110)</f>
        <v>0.3</v>
      </c>
      <c r="J110" s="6" t="n">
        <f aca="false">2*Fees!$B$8</f>
        <v>0.3</v>
      </c>
      <c r="K110" s="6" t="n">
        <f aca="false">2*Fees!$B$10</f>
        <v>5</v>
      </c>
      <c r="L110" s="5" t="n">
        <f aca="false">I110*Fees!$B$3/Fees!$B$4</f>
        <v>30</v>
      </c>
      <c r="M110" s="5" t="n">
        <f aca="false">J110*Fees!$B$3/Fees!$B$7</f>
        <v>30</v>
      </c>
      <c r="N110" s="5" t="n">
        <f aca="false">K110*Fees!$B$3/Fees!$B$9</f>
        <v>50</v>
      </c>
      <c r="O110" s="5" t="n">
        <f aca="false">2*Fees!$B$11*Fees!$B$3</f>
        <v>20</v>
      </c>
      <c r="P110" s="5" t="n">
        <f aca="false">H110*Fees!$B$3-L110-O110</f>
        <v>-525.560000000001</v>
      </c>
      <c r="Q110" s="5" t="n">
        <f aca="false">H110*Fees!$B$3-M110-O110</f>
        <v>-525.560000000001</v>
      </c>
      <c r="R110" s="5" t="n">
        <f aca="false">H110*Fees!$B$3-N110-O110</f>
        <v>-545.560000000001</v>
      </c>
    </row>
    <row r="111" customFormat="false" ht="15" hidden="false" customHeight="false" outlineLevel="0" collapsed="false">
      <c r="A111" s="3" t="n">
        <v>109</v>
      </c>
      <c r="B111" s="4" t="n">
        <v>45213.75</v>
      </c>
      <c r="C111" s="4" t="n">
        <v>45214.1666666667</v>
      </c>
      <c r="D111" s="3" t="n">
        <v>10</v>
      </c>
      <c r="E111" s="5" t="n">
        <v>26822</v>
      </c>
      <c r="F111" s="5" t="n">
        <v>26886</v>
      </c>
      <c r="G111" s="3" t="s">
        <v>19</v>
      </c>
      <c r="H111" s="5" t="n">
        <f aca="false">E111-F111</f>
        <v>-64</v>
      </c>
      <c r="I111" s="6" t="n">
        <f aca="false">MAX(Fees!$B$6,Fees!$B$5*Fees!$B$4*E111)+MAX(Fees!$B$6,Fees!$B$5*Fees!$B$4*F111)</f>
        <v>0.3</v>
      </c>
      <c r="J111" s="6" t="n">
        <f aca="false">2*Fees!$B$8</f>
        <v>0.3</v>
      </c>
      <c r="K111" s="6" t="n">
        <f aca="false">2*Fees!$B$10</f>
        <v>5</v>
      </c>
      <c r="L111" s="5" t="n">
        <f aca="false">I111*Fees!$B$3/Fees!$B$4</f>
        <v>30</v>
      </c>
      <c r="M111" s="5" t="n">
        <f aca="false">J111*Fees!$B$3/Fees!$B$7</f>
        <v>30</v>
      </c>
      <c r="N111" s="5" t="n">
        <f aca="false">K111*Fees!$B$3/Fees!$B$9</f>
        <v>50</v>
      </c>
      <c r="O111" s="5" t="n">
        <f aca="false">2*Fees!$B$11*Fees!$B$3</f>
        <v>20</v>
      </c>
      <c r="P111" s="5" t="n">
        <f aca="false">H111*Fees!$B$3-L111-O111</f>
        <v>-114</v>
      </c>
      <c r="Q111" s="5" t="n">
        <f aca="false">H111*Fees!$B$3-M111-O111</f>
        <v>-114</v>
      </c>
      <c r="R111" s="5" t="n">
        <f aca="false">H111*Fees!$B$3-N111-O111</f>
        <v>-134</v>
      </c>
    </row>
    <row r="112" customFormat="false" ht="15" hidden="false" customHeight="false" outlineLevel="0" collapsed="false">
      <c r="A112" s="3" t="n">
        <v>110</v>
      </c>
      <c r="B112" s="4" t="n">
        <v>45312.875</v>
      </c>
      <c r="C112" s="4" t="n">
        <v>45317.3333333333</v>
      </c>
      <c r="D112" s="3" t="n">
        <v>107</v>
      </c>
      <c r="E112" s="5" t="n">
        <v>41330</v>
      </c>
      <c r="F112" s="5" t="n">
        <v>41121</v>
      </c>
      <c r="G112" s="3" t="s">
        <v>20</v>
      </c>
      <c r="H112" s="5" t="n">
        <f aca="false">E112-F112</f>
        <v>209</v>
      </c>
      <c r="I112" s="6" t="n">
        <f aca="false">MAX(Fees!$B$6,Fees!$B$5*Fees!$B$4*E112)+MAX(Fees!$B$6,Fees!$B$5*Fees!$B$4*F112)</f>
        <v>0.3</v>
      </c>
      <c r="J112" s="6" t="n">
        <f aca="false">2*Fees!$B$8</f>
        <v>0.3</v>
      </c>
      <c r="K112" s="6" t="n">
        <f aca="false">2*Fees!$B$10</f>
        <v>5</v>
      </c>
      <c r="L112" s="5" t="n">
        <f aca="false">I112*Fees!$B$3/Fees!$B$4</f>
        <v>30</v>
      </c>
      <c r="M112" s="5" t="n">
        <f aca="false">J112*Fees!$B$3/Fees!$B$7</f>
        <v>30</v>
      </c>
      <c r="N112" s="5" t="n">
        <f aca="false">K112*Fees!$B$3/Fees!$B$9</f>
        <v>50</v>
      </c>
      <c r="O112" s="5" t="n">
        <f aca="false">2*Fees!$B$11*Fees!$B$3</f>
        <v>20</v>
      </c>
      <c r="P112" s="5" t="n">
        <f aca="false">H112*Fees!$B$3-L112-O112</f>
        <v>159</v>
      </c>
      <c r="Q112" s="5" t="n">
        <f aca="false">H112*Fees!$B$3-M112-O112</f>
        <v>159</v>
      </c>
      <c r="R112" s="5" t="n">
        <f aca="false">H112*Fees!$B$3-N112-O112</f>
        <v>139</v>
      </c>
    </row>
    <row r="113" customFormat="false" ht="15" hidden="false" customHeight="false" outlineLevel="0" collapsed="false">
      <c r="A113" s="3" t="n">
        <v>111</v>
      </c>
      <c r="B113" s="4" t="n">
        <v>45416.9166666667</v>
      </c>
      <c r="C113" s="4" t="n">
        <v>45417.4583333333</v>
      </c>
      <c r="D113" s="3" t="n">
        <v>13</v>
      </c>
      <c r="E113" s="5" t="n">
        <v>63329</v>
      </c>
      <c r="F113" s="5" t="n">
        <v>64111</v>
      </c>
      <c r="G113" s="3" t="s">
        <v>19</v>
      </c>
      <c r="H113" s="5" t="n">
        <f aca="false">E113-F113</f>
        <v>-782</v>
      </c>
      <c r="I113" s="6" t="n">
        <f aca="false">MAX(Fees!$B$6,Fees!$B$5*Fees!$B$4*E113)+MAX(Fees!$B$6,Fees!$B$5*Fees!$B$4*F113)</f>
        <v>0.3</v>
      </c>
      <c r="J113" s="6" t="n">
        <f aca="false">2*Fees!$B$8</f>
        <v>0.3</v>
      </c>
      <c r="K113" s="6" t="n">
        <f aca="false">2*Fees!$B$10</f>
        <v>5</v>
      </c>
      <c r="L113" s="5" t="n">
        <f aca="false">I113*Fees!$B$3/Fees!$B$4</f>
        <v>30</v>
      </c>
      <c r="M113" s="5" t="n">
        <f aca="false">J113*Fees!$B$3/Fees!$B$7</f>
        <v>30</v>
      </c>
      <c r="N113" s="5" t="n">
        <f aca="false">K113*Fees!$B$3/Fees!$B$9</f>
        <v>50</v>
      </c>
      <c r="O113" s="5" t="n">
        <f aca="false">2*Fees!$B$11*Fees!$B$3</f>
        <v>20</v>
      </c>
      <c r="P113" s="5" t="n">
        <f aca="false">H113*Fees!$B$3-L113-O113</f>
        <v>-832</v>
      </c>
      <c r="Q113" s="5" t="n">
        <f aca="false">H113*Fees!$B$3-M113-O113</f>
        <v>-832</v>
      </c>
      <c r="R113" s="5" t="n">
        <f aca="false">H113*Fees!$B$3-N113-O113</f>
        <v>-852</v>
      </c>
    </row>
    <row r="114" customFormat="false" ht="15" hidden="false" customHeight="false" outlineLevel="0" collapsed="false">
      <c r="A114" s="3" t="n">
        <v>112</v>
      </c>
      <c r="B114" s="4" t="n">
        <v>45475.2083333333</v>
      </c>
      <c r="C114" s="4" t="n">
        <v>45479.4166666667</v>
      </c>
      <c r="D114" s="3" t="n">
        <v>101</v>
      </c>
      <c r="E114" s="5" t="n">
        <v>62576</v>
      </c>
      <c r="F114" s="5" t="n">
        <v>56980</v>
      </c>
      <c r="G114" s="3" t="s">
        <v>20</v>
      </c>
      <c r="H114" s="5" t="n">
        <f aca="false">E114-F114</f>
        <v>5596</v>
      </c>
      <c r="I114" s="6" t="n">
        <f aca="false">MAX(Fees!$B$6,Fees!$B$5*Fees!$B$4*E114)+MAX(Fees!$B$6,Fees!$B$5*Fees!$B$4*F114)</f>
        <v>0.3</v>
      </c>
      <c r="J114" s="6" t="n">
        <f aca="false">2*Fees!$B$8</f>
        <v>0.3</v>
      </c>
      <c r="K114" s="6" t="n">
        <f aca="false">2*Fees!$B$10</f>
        <v>5</v>
      </c>
      <c r="L114" s="5" t="n">
        <f aca="false">I114*Fees!$B$3/Fees!$B$4</f>
        <v>30</v>
      </c>
      <c r="M114" s="5" t="n">
        <f aca="false">J114*Fees!$B$3/Fees!$B$7</f>
        <v>30</v>
      </c>
      <c r="N114" s="5" t="n">
        <f aca="false">K114*Fees!$B$3/Fees!$B$9</f>
        <v>50</v>
      </c>
      <c r="O114" s="5" t="n">
        <f aca="false">2*Fees!$B$11*Fees!$B$3</f>
        <v>20</v>
      </c>
      <c r="P114" s="5" t="n">
        <f aca="false">H114*Fees!$B$3-L114-O114</f>
        <v>5546</v>
      </c>
      <c r="Q114" s="5" t="n">
        <f aca="false">H114*Fees!$B$3-M114-O114</f>
        <v>5546</v>
      </c>
      <c r="R114" s="5" t="n">
        <f aca="false">H114*Fees!$B$3-N114-O114</f>
        <v>5526</v>
      </c>
    </row>
    <row r="115" customFormat="false" ht="15" hidden="false" customHeight="false" outlineLevel="0" collapsed="false">
      <c r="A115" s="3" t="n">
        <v>113</v>
      </c>
      <c r="B115" s="4" t="n">
        <v>45519.75</v>
      </c>
      <c r="C115" s="4" t="n">
        <v>45520</v>
      </c>
      <c r="D115" s="3" t="n">
        <v>6</v>
      </c>
      <c r="E115" s="5" t="n">
        <v>57636</v>
      </c>
      <c r="F115" s="5" t="n">
        <v>57893</v>
      </c>
      <c r="G115" s="3" t="s">
        <v>19</v>
      </c>
      <c r="H115" s="5" t="n">
        <f aca="false">E115-F115</f>
        <v>-257</v>
      </c>
      <c r="I115" s="6" t="n">
        <f aca="false">MAX(Fees!$B$6,Fees!$B$5*Fees!$B$4*E115)+MAX(Fees!$B$6,Fees!$B$5*Fees!$B$4*F115)</f>
        <v>0.3</v>
      </c>
      <c r="J115" s="6" t="n">
        <f aca="false">2*Fees!$B$8</f>
        <v>0.3</v>
      </c>
      <c r="K115" s="6" t="n">
        <f aca="false">2*Fees!$B$10</f>
        <v>5</v>
      </c>
      <c r="L115" s="5" t="n">
        <f aca="false">I115*Fees!$B$3/Fees!$B$4</f>
        <v>30</v>
      </c>
      <c r="M115" s="5" t="n">
        <f aca="false">J115*Fees!$B$3/Fees!$B$7</f>
        <v>30</v>
      </c>
      <c r="N115" s="5" t="n">
        <f aca="false">K115*Fees!$B$3/Fees!$B$9</f>
        <v>50</v>
      </c>
      <c r="O115" s="5" t="n">
        <f aca="false">2*Fees!$B$11*Fees!$B$3</f>
        <v>20</v>
      </c>
      <c r="P115" s="5" t="n">
        <f aca="false">H115*Fees!$B$3-L115-O115</f>
        <v>-307</v>
      </c>
      <c r="Q115" s="5" t="n">
        <f aca="false">H115*Fees!$B$3-M115-O115</f>
        <v>-307</v>
      </c>
      <c r="R115" s="5" t="n">
        <f aca="false">H115*Fees!$B$3-N115-O115</f>
        <v>-327</v>
      </c>
    </row>
    <row r="116" customFormat="false" ht="15" hidden="false" customHeight="false" outlineLevel="0" collapsed="false">
      <c r="A116" s="3" t="n">
        <v>114</v>
      </c>
      <c r="B116" s="4" t="n">
        <v>45531.8333333333</v>
      </c>
      <c r="C116" s="4" t="n">
        <v>45539.6666666667</v>
      </c>
      <c r="D116" s="3" t="n">
        <v>188</v>
      </c>
      <c r="E116" s="5" t="n">
        <v>59427</v>
      </c>
      <c r="F116" s="5" t="n">
        <v>58027</v>
      </c>
      <c r="G116" s="3" t="s">
        <v>20</v>
      </c>
      <c r="H116" s="5" t="n">
        <f aca="false">E116-F116</f>
        <v>1400</v>
      </c>
      <c r="I116" s="6" t="n">
        <f aca="false">MAX(Fees!$B$6,Fees!$B$5*Fees!$B$4*E116)+MAX(Fees!$B$6,Fees!$B$5*Fees!$B$4*F116)</f>
        <v>0.3</v>
      </c>
      <c r="J116" s="6" t="n">
        <f aca="false">2*Fees!$B$8</f>
        <v>0.3</v>
      </c>
      <c r="K116" s="6" t="n">
        <f aca="false">2*Fees!$B$10</f>
        <v>5</v>
      </c>
      <c r="L116" s="5" t="n">
        <f aca="false">I116*Fees!$B$3/Fees!$B$4</f>
        <v>30</v>
      </c>
      <c r="M116" s="5" t="n">
        <f aca="false">J116*Fees!$B$3/Fees!$B$7</f>
        <v>30</v>
      </c>
      <c r="N116" s="5" t="n">
        <f aca="false">K116*Fees!$B$3/Fees!$B$9</f>
        <v>50</v>
      </c>
      <c r="O116" s="5" t="n">
        <f aca="false">2*Fees!$B$11*Fees!$B$3</f>
        <v>20</v>
      </c>
      <c r="P116" s="5" t="n">
        <f aca="false">H116*Fees!$B$3-L116-O116</f>
        <v>1350</v>
      </c>
      <c r="Q116" s="5" t="n">
        <f aca="false">H116*Fees!$B$3-M116-O116</f>
        <v>1350</v>
      </c>
      <c r="R116" s="5" t="n">
        <f aca="false">H116*Fees!$B$3-N116-O116</f>
        <v>1330</v>
      </c>
    </row>
    <row r="117" customFormat="false" ht="15" hidden="false" customHeight="false" outlineLevel="0" collapsed="false">
      <c r="A117" s="3" t="n">
        <v>115</v>
      </c>
      <c r="B117" s="4" t="n">
        <v>45737.375</v>
      </c>
      <c r="C117" s="4" t="n">
        <v>45737.5833333333</v>
      </c>
      <c r="D117" s="3" t="n">
        <v>5</v>
      </c>
      <c r="E117" s="5" t="n">
        <v>83435</v>
      </c>
      <c r="F117" s="5" t="n">
        <v>83977</v>
      </c>
      <c r="G117" s="3" t="s">
        <v>19</v>
      </c>
      <c r="H117" s="5" t="n">
        <f aca="false">E117-F117</f>
        <v>-542</v>
      </c>
      <c r="I117" s="6" t="n">
        <f aca="false">MAX(Fees!$B$6,Fees!$B$5*Fees!$B$4*E117)+MAX(Fees!$B$6,Fees!$B$5*Fees!$B$4*F117)</f>
        <v>0.334824</v>
      </c>
      <c r="J117" s="6" t="n">
        <f aca="false">2*Fees!$B$8</f>
        <v>0.3</v>
      </c>
      <c r="K117" s="6" t="n">
        <f aca="false">2*Fees!$B$10</f>
        <v>5</v>
      </c>
      <c r="L117" s="5" t="n">
        <f aca="false">I117*Fees!$B$3/Fees!$B$4</f>
        <v>33.4824</v>
      </c>
      <c r="M117" s="5" t="n">
        <f aca="false">J117*Fees!$B$3/Fees!$B$7</f>
        <v>30</v>
      </c>
      <c r="N117" s="5" t="n">
        <f aca="false">K117*Fees!$B$3/Fees!$B$9</f>
        <v>50</v>
      </c>
      <c r="O117" s="5" t="n">
        <f aca="false">2*Fees!$B$11*Fees!$B$3</f>
        <v>20</v>
      </c>
      <c r="P117" s="5" t="n">
        <f aca="false">H117*Fees!$B$3-L117-O117</f>
        <v>-595.4824</v>
      </c>
      <c r="Q117" s="5" t="n">
        <f aca="false">H117*Fees!$B$3-M117-O117</f>
        <v>-592</v>
      </c>
      <c r="R117" s="5" t="n">
        <f aca="false">H117*Fees!$B$3-N117-O117</f>
        <v>-612</v>
      </c>
    </row>
    <row r="118" customFormat="false" ht="15" hidden="false" customHeight="false" outlineLevel="0" collapsed="false">
      <c r="A118" s="3" t="n">
        <v>116</v>
      </c>
      <c r="B118" s="4" t="n">
        <v>45767.2083333333</v>
      </c>
      <c r="C118" s="4" t="n">
        <v>45767.875</v>
      </c>
      <c r="D118" s="3" t="n">
        <v>16</v>
      </c>
      <c r="E118" s="5" t="n">
        <v>84642</v>
      </c>
      <c r="F118" s="5" t="n">
        <v>85397.2</v>
      </c>
      <c r="G118" s="3" t="s">
        <v>21</v>
      </c>
      <c r="H118" s="5" t="n">
        <f aca="false">E118-F118</f>
        <v>-755.199999999997</v>
      </c>
      <c r="I118" s="6" t="n">
        <f aca="false">MAX(Fees!$B$6,Fees!$B$5*Fees!$B$4*E118)+MAX(Fees!$B$6,Fees!$B$5*Fees!$B$4*F118)</f>
        <v>0.3400784</v>
      </c>
      <c r="J118" s="6" t="n">
        <f aca="false">2*Fees!$B$8</f>
        <v>0.3</v>
      </c>
      <c r="K118" s="6" t="n">
        <f aca="false">2*Fees!$B$10</f>
        <v>5</v>
      </c>
      <c r="L118" s="5" t="n">
        <f aca="false">I118*Fees!$B$3/Fees!$B$4</f>
        <v>34.00784</v>
      </c>
      <c r="M118" s="5" t="n">
        <f aca="false">J118*Fees!$B$3/Fees!$B$7</f>
        <v>30</v>
      </c>
      <c r="N118" s="5" t="n">
        <f aca="false">K118*Fees!$B$3/Fees!$B$9</f>
        <v>50</v>
      </c>
      <c r="O118" s="5" t="n">
        <f aca="false">2*Fees!$B$11*Fees!$B$3</f>
        <v>20</v>
      </c>
      <c r="P118" s="5" t="n">
        <f aca="false">H118*Fees!$B$3-L118-O118</f>
        <v>-809.207839999997</v>
      </c>
      <c r="Q118" s="5" t="n">
        <f aca="false">H118*Fees!$B$3-M118-O118</f>
        <v>-805.199999999997</v>
      </c>
      <c r="R118" s="5" t="n">
        <f aca="false">H118*Fees!$B$3-N118-O118</f>
        <v>-825.199999999997</v>
      </c>
    </row>
    <row r="119" customFormat="false" ht="15" hidden="false" customHeight="false" outlineLevel="0" collapsed="false">
      <c r="A119" s="3" t="n">
        <v>117</v>
      </c>
      <c r="B119" s="4" t="n">
        <v>45898.1666666667</v>
      </c>
      <c r="C119" s="4" t="n">
        <v>45899.6666666667</v>
      </c>
      <c r="D119" s="3" t="n">
        <v>36</v>
      </c>
      <c r="E119" s="5" t="n">
        <v>110041</v>
      </c>
      <c r="F119" s="5" t="n">
        <v>108853</v>
      </c>
      <c r="G119" s="3" t="s">
        <v>20</v>
      </c>
      <c r="H119" s="5" t="n">
        <f aca="false">E119-F119</f>
        <v>1188</v>
      </c>
      <c r="I119" s="6" t="n">
        <f aca="false">MAX(Fees!$B$6,Fees!$B$5*Fees!$B$4*E119)+MAX(Fees!$B$6,Fees!$B$5*Fees!$B$4*F119)</f>
        <v>0.437788</v>
      </c>
      <c r="J119" s="6" t="n">
        <f aca="false">2*Fees!$B$8</f>
        <v>0.3</v>
      </c>
      <c r="K119" s="6" t="n">
        <f aca="false">2*Fees!$B$10</f>
        <v>5</v>
      </c>
      <c r="L119" s="5" t="n">
        <f aca="false">I119*Fees!$B$3/Fees!$B$4</f>
        <v>43.7788</v>
      </c>
      <c r="M119" s="5" t="n">
        <f aca="false">J119*Fees!$B$3/Fees!$B$7</f>
        <v>30</v>
      </c>
      <c r="N119" s="5" t="n">
        <f aca="false">K119*Fees!$B$3/Fees!$B$9</f>
        <v>50</v>
      </c>
      <c r="O119" s="5" t="n">
        <f aca="false">2*Fees!$B$11*Fees!$B$3</f>
        <v>20</v>
      </c>
      <c r="P119" s="5" t="n">
        <f aca="false">H119*Fees!$B$3-L119-O119</f>
        <v>1124.2212</v>
      </c>
      <c r="Q119" s="5" t="n">
        <f aca="false">H119*Fees!$B$3-M119-O119</f>
        <v>1138</v>
      </c>
      <c r="R119" s="5" t="n">
        <f aca="false">H119*Fees!$B$3-N119-O119</f>
        <v>1118</v>
      </c>
    </row>
    <row r="120" customFormat="false" ht="15" hidden="false" customHeight="false" outlineLevel="0" collapsed="false">
      <c r="A120" s="3" t="n">
        <v>118</v>
      </c>
      <c r="B120" s="4" t="n">
        <v>45901</v>
      </c>
      <c r="C120" s="4" t="n">
        <v>45901.1666666667</v>
      </c>
      <c r="D120" s="3" t="n">
        <v>4</v>
      </c>
      <c r="E120" s="5" t="n">
        <v>107670</v>
      </c>
      <c r="F120" s="5" t="n">
        <v>109339.55</v>
      </c>
      <c r="G120" s="3" t="s">
        <v>21</v>
      </c>
      <c r="H120" s="5" t="n">
        <f aca="false">E120-F120</f>
        <v>-1669.55</v>
      </c>
      <c r="I120" s="6" t="n">
        <f aca="false">MAX(Fees!$B$6,Fees!$B$5*Fees!$B$4*E120)+MAX(Fees!$B$6,Fees!$B$5*Fees!$B$4*F120)</f>
        <v>0.4340191</v>
      </c>
      <c r="J120" s="6" t="n">
        <f aca="false">2*Fees!$B$8</f>
        <v>0.3</v>
      </c>
      <c r="K120" s="6" t="n">
        <f aca="false">2*Fees!$B$10</f>
        <v>5</v>
      </c>
      <c r="L120" s="5" t="n">
        <f aca="false">I120*Fees!$B$3/Fees!$B$4</f>
        <v>43.40191</v>
      </c>
      <c r="M120" s="5" t="n">
        <f aca="false">J120*Fees!$B$3/Fees!$B$7</f>
        <v>30</v>
      </c>
      <c r="N120" s="5" t="n">
        <f aca="false">K120*Fees!$B$3/Fees!$B$9</f>
        <v>50</v>
      </c>
      <c r="O120" s="5" t="n">
        <f aca="false">2*Fees!$B$11*Fees!$B$3</f>
        <v>20</v>
      </c>
      <c r="P120" s="5" t="n">
        <f aca="false">H120*Fees!$B$3-L120-O120</f>
        <v>-1732.95191</v>
      </c>
      <c r="Q120" s="5" t="n">
        <f aca="false">H120*Fees!$B$3-M120-O120</f>
        <v>-1719.55</v>
      </c>
      <c r="R120" s="5" t="n">
        <f aca="false">H120*Fees!$B$3-N120-O120</f>
        <v>-1739.55</v>
      </c>
    </row>
    <row r="121" customFormat="false" ht="15" hidden="false" customHeight="false" outlineLevel="0" collapsed="false">
      <c r="A121" s="3" t="n">
        <v>119</v>
      </c>
      <c r="B121" s="4" t="n">
        <v>45904.5</v>
      </c>
      <c r="C121" s="4" t="n">
        <v>45904.75</v>
      </c>
      <c r="D121" s="3" t="n">
        <v>6</v>
      </c>
      <c r="E121" s="5" t="n">
        <v>109522</v>
      </c>
      <c r="F121" s="5" t="n">
        <v>110508</v>
      </c>
      <c r="G121" s="3" t="s">
        <v>19</v>
      </c>
      <c r="H121" s="5" t="n">
        <f aca="false">E121-F121</f>
        <v>-986</v>
      </c>
      <c r="I121" s="6" t="n">
        <f aca="false">MAX(Fees!$B$6,Fees!$B$5*Fees!$B$4*E121)+MAX(Fees!$B$6,Fees!$B$5*Fees!$B$4*F121)</f>
        <v>0.44006</v>
      </c>
      <c r="J121" s="6" t="n">
        <f aca="false">2*Fees!$B$8</f>
        <v>0.3</v>
      </c>
      <c r="K121" s="6" t="n">
        <f aca="false">2*Fees!$B$10</f>
        <v>5</v>
      </c>
      <c r="L121" s="5" t="n">
        <f aca="false">I121*Fees!$B$3/Fees!$B$4</f>
        <v>44.006</v>
      </c>
      <c r="M121" s="5" t="n">
        <f aca="false">J121*Fees!$B$3/Fees!$B$7</f>
        <v>30</v>
      </c>
      <c r="N121" s="5" t="n">
        <f aca="false">K121*Fees!$B$3/Fees!$B$9</f>
        <v>50</v>
      </c>
      <c r="O121" s="5" t="n">
        <f aca="false">2*Fees!$B$11*Fees!$B$3</f>
        <v>20</v>
      </c>
      <c r="P121" s="5" t="n">
        <f aca="false">H121*Fees!$B$3-L121-O121</f>
        <v>-1050.006</v>
      </c>
      <c r="Q121" s="5" t="n">
        <f aca="false">H121*Fees!$B$3-M121-O121</f>
        <v>-1036</v>
      </c>
      <c r="R121" s="5" t="n">
        <f aca="false">H121*Fees!$B$3-N121-O121</f>
        <v>-1056</v>
      </c>
    </row>
    <row r="122" customFormat="false" ht="15" hidden="false" customHeight="false" outlineLevel="0" collapsed="false">
      <c r="A122" s="3" t="n">
        <v>120</v>
      </c>
      <c r="B122" s="4" t="n">
        <v>45972.5</v>
      </c>
      <c r="C122" s="4" t="n">
        <v>45984.375</v>
      </c>
      <c r="D122" s="3" t="n">
        <v>285</v>
      </c>
      <c r="E122" s="5" t="n">
        <v>103382</v>
      </c>
      <c r="F122" s="5" t="n">
        <v>86884</v>
      </c>
      <c r="G122" s="3" t="s">
        <v>20</v>
      </c>
      <c r="H122" s="5" t="n">
        <f aca="false">E122-F122</f>
        <v>16498</v>
      </c>
      <c r="I122" s="6" t="n">
        <f aca="false">MAX(Fees!$B$6,Fees!$B$5*Fees!$B$4*E122)+MAX(Fees!$B$6,Fees!$B$5*Fees!$B$4*F122)</f>
        <v>0.380532</v>
      </c>
      <c r="J122" s="6" t="n">
        <f aca="false">2*Fees!$B$8</f>
        <v>0.3</v>
      </c>
      <c r="K122" s="6" t="n">
        <f aca="false">2*Fees!$B$10</f>
        <v>5</v>
      </c>
      <c r="L122" s="5" t="n">
        <f aca="false">I122*Fees!$B$3/Fees!$B$4</f>
        <v>38.0532</v>
      </c>
      <c r="M122" s="5" t="n">
        <f aca="false">J122*Fees!$B$3/Fees!$B$7</f>
        <v>30</v>
      </c>
      <c r="N122" s="5" t="n">
        <f aca="false">K122*Fees!$B$3/Fees!$B$9</f>
        <v>50</v>
      </c>
      <c r="O122" s="5" t="n">
        <f aca="false">2*Fees!$B$11*Fees!$B$3</f>
        <v>20</v>
      </c>
      <c r="P122" s="5" t="n">
        <f aca="false">H122*Fees!$B$3-L122-O122</f>
        <v>16439.9468</v>
      </c>
      <c r="Q122" s="5" t="n">
        <f aca="false">H122*Fees!$B$3-M122-O122</f>
        <v>16448</v>
      </c>
      <c r="R122" s="5" t="n">
        <f aca="false">H122*Fees!$B$3-N122-O122</f>
        <v>16428</v>
      </c>
    </row>
    <row r="123" customFormat="false" ht="15" hidden="false" customHeight="false" outlineLevel="0" collapsed="false">
      <c r="A123" s="3" t="n">
        <v>121</v>
      </c>
      <c r="B123" s="4" t="n">
        <v>46012.375</v>
      </c>
      <c r="C123" s="4" t="n">
        <v>46012.625</v>
      </c>
      <c r="D123" s="3" t="n">
        <v>6</v>
      </c>
      <c r="E123" s="5" t="n">
        <v>87649</v>
      </c>
      <c r="F123" s="5" t="n">
        <v>88493.46</v>
      </c>
      <c r="G123" s="3" t="s">
        <v>21</v>
      </c>
      <c r="H123" s="5" t="n">
        <f aca="false">E123-F123</f>
        <v>-844.460000000006</v>
      </c>
      <c r="I123" s="6" t="n">
        <f aca="false">MAX(Fees!$B$6,Fees!$B$5*Fees!$B$4*E123)+MAX(Fees!$B$6,Fees!$B$5*Fees!$B$4*F123)</f>
        <v>0.35228492</v>
      </c>
      <c r="J123" s="6" t="n">
        <f aca="false">2*Fees!$B$8</f>
        <v>0.3</v>
      </c>
      <c r="K123" s="6" t="n">
        <f aca="false">2*Fees!$B$10</f>
        <v>5</v>
      </c>
      <c r="L123" s="5" t="n">
        <f aca="false">I123*Fees!$B$3/Fees!$B$4</f>
        <v>35.228492</v>
      </c>
      <c r="M123" s="5" t="n">
        <f aca="false">J123*Fees!$B$3/Fees!$B$7</f>
        <v>30</v>
      </c>
      <c r="N123" s="5" t="n">
        <f aca="false">K123*Fees!$B$3/Fees!$B$9</f>
        <v>50</v>
      </c>
      <c r="O123" s="5" t="n">
        <f aca="false">2*Fees!$B$11*Fees!$B$3</f>
        <v>20</v>
      </c>
      <c r="P123" s="5" t="n">
        <f aca="false">H123*Fees!$B$3-L123-O123</f>
        <v>-899.688492000006</v>
      </c>
      <c r="Q123" s="5" t="n">
        <f aca="false">H123*Fees!$B$3-M123-O123</f>
        <v>-894.460000000006</v>
      </c>
      <c r="R123" s="5" t="n">
        <f aca="false">H123*Fees!$B$3-N123-O123</f>
        <v>-914.460000000006</v>
      </c>
    </row>
    <row r="124" customFormat="false" ht="15" hidden="false" customHeight="false" outlineLevel="0" collapsed="false">
      <c r="A124" s="3" t="n">
        <v>122</v>
      </c>
      <c r="B124" s="4" t="n">
        <v>46022.5</v>
      </c>
      <c r="C124" s="4" t="n">
        <v>46023.5416666667</v>
      </c>
      <c r="D124" s="3" t="n">
        <v>25</v>
      </c>
      <c r="E124" s="5" t="n">
        <v>87537</v>
      </c>
      <c r="F124" s="5" t="n">
        <v>88193</v>
      </c>
      <c r="G124" s="3" t="s">
        <v>20</v>
      </c>
      <c r="H124" s="5" t="n">
        <f aca="false">E124-F124</f>
        <v>-656</v>
      </c>
      <c r="I124" s="6" t="n">
        <f aca="false">MAX(Fees!$B$6,Fees!$B$5*Fees!$B$4*E124)+MAX(Fees!$B$6,Fees!$B$5*Fees!$B$4*F124)</f>
        <v>0.35146</v>
      </c>
      <c r="J124" s="6" t="n">
        <f aca="false">2*Fees!$B$8</f>
        <v>0.3</v>
      </c>
      <c r="K124" s="6" t="n">
        <f aca="false">2*Fees!$B$10</f>
        <v>5</v>
      </c>
      <c r="L124" s="5" t="n">
        <f aca="false">I124*Fees!$B$3/Fees!$B$4</f>
        <v>35.146</v>
      </c>
      <c r="M124" s="5" t="n">
        <f aca="false">J124*Fees!$B$3/Fees!$B$7</f>
        <v>30</v>
      </c>
      <c r="N124" s="5" t="n">
        <f aca="false">K124*Fees!$B$3/Fees!$B$9</f>
        <v>50</v>
      </c>
      <c r="O124" s="5" t="n">
        <f aca="false">2*Fees!$B$11*Fees!$B$3</f>
        <v>20</v>
      </c>
      <c r="P124" s="5" t="n">
        <f aca="false">H124*Fees!$B$3-L124-O124</f>
        <v>-711.146</v>
      </c>
      <c r="Q124" s="5" t="n">
        <f aca="false">H124*Fees!$B$3-M124-O124</f>
        <v>-706</v>
      </c>
      <c r="R124" s="5" t="n">
        <f aca="false">H124*Fees!$B$3-N124-O124</f>
        <v>-726</v>
      </c>
    </row>
    <row r="125" customFormat="false" ht="15" hidden="false" customHeight="false" outlineLevel="0" collapsed="false">
      <c r="A125" s="3" t="n">
        <v>123</v>
      </c>
      <c r="B125" s="4" t="n">
        <v>46046.9166666667</v>
      </c>
      <c r="C125" s="4" t="n">
        <v>46049.6666666667</v>
      </c>
      <c r="D125" s="3" t="n">
        <v>66</v>
      </c>
      <c r="E125" s="5" t="n">
        <v>89001</v>
      </c>
      <c r="F125" s="5" t="n">
        <v>89292</v>
      </c>
      <c r="G125" s="3" t="s">
        <v>20</v>
      </c>
      <c r="H125" s="5" t="n">
        <f aca="false">E125-F125</f>
        <v>-291</v>
      </c>
      <c r="I125" s="6" t="n">
        <f aca="false">MAX(Fees!$B$6,Fees!$B$5*Fees!$B$4*E125)+MAX(Fees!$B$6,Fees!$B$5*Fees!$B$4*F125)</f>
        <v>0.356586</v>
      </c>
      <c r="J125" s="6" t="n">
        <f aca="false">2*Fees!$B$8</f>
        <v>0.3</v>
      </c>
      <c r="K125" s="6" t="n">
        <f aca="false">2*Fees!$B$10</f>
        <v>5</v>
      </c>
      <c r="L125" s="5" t="n">
        <f aca="false">I125*Fees!$B$3/Fees!$B$4</f>
        <v>35.6586</v>
      </c>
      <c r="M125" s="5" t="n">
        <f aca="false">J125*Fees!$B$3/Fees!$B$7</f>
        <v>30</v>
      </c>
      <c r="N125" s="5" t="n">
        <f aca="false">K125*Fees!$B$3/Fees!$B$9</f>
        <v>50</v>
      </c>
      <c r="O125" s="5" t="n">
        <f aca="false">2*Fees!$B$11*Fees!$B$3</f>
        <v>20</v>
      </c>
      <c r="P125" s="5" t="n">
        <f aca="false">H125*Fees!$B$3-L125-O125</f>
        <v>-346.6586</v>
      </c>
      <c r="Q125" s="5" t="n">
        <f aca="false">H125*Fees!$B$3-M125-O125</f>
        <v>-341</v>
      </c>
      <c r="R125" s="5" t="n">
        <f aca="false">H125*Fees!$B$3-N125-O125</f>
        <v>-361</v>
      </c>
    </row>
    <row r="126" customFormat="false" ht="15" hidden="false" customHeight="false" outlineLevel="0" collapsed="false">
      <c r="A126" s="3" t="n">
        <v>124</v>
      </c>
      <c r="B126" s="4" t="n">
        <v>46051.4166666667</v>
      </c>
      <c r="C126" s="4" t="n">
        <v>46061.1666666667</v>
      </c>
      <c r="D126" s="3" t="n">
        <v>234</v>
      </c>
      <c r="E126" s="5" t="n">
        <v>86866</v>
      </c>
      <c r="F126" s="5" t="n">
        <v>70580</v>
      </c>
      <c r="G126" s="3" t="s">
        <v>20</v>
      </c>
      <c r="H126" s="5" t="n">
        <f aca="false">E126-F126</f>
        <v>16286</v>
      </c>
      <c r="I126" s="6" t="n">
        <f aca="false">MAX(Fees!$B$6,Fees!$B$5*Fees!$B$4*E126)+MAX(Fees!$B$6,Fees!$B$5*Fees!$B$4*F126)</f>
        <v>0.323732</v>
      </c>
      <c r="J126" s="6" t="n">
        <f aca="false">2*Fees!$B$8</f>
        <v>0.3</v>
      </c>
      <c r="K126" s="6" t="n">
        <f aca="false">2*Fees!$B$10</f>
        <v>5</v>
      </c>
      <c r="L126" s="5" t="n">
        <f aca="false">I126*Fees!$B$3/Fees!$B$4</f>
        <v>32.3732</v>
      </c>
      <c r="M126" s="5" t="n">
        <f aca="false">J126*Fees!$B$3/Fees!$B$7</f>
        <v>30</v>
      </c>
      <c r="N126" s="5" t="n">
        <f aca="false">K126*Fees!$B$3/Fees!$B$9</f>
        <v>50</v>
      </c>
      <c r="O126" s="5" t="n">
        <f aca="false">2*Fees!$B$11*Fees!$B$3</f>
        <v>20</v>
      </c>
      <c r="P126" s="5" t="n">
        <f aca="false">H126*Fees!$B$3-L126-O126</f>
        <v>16233.6268</v>
      </c>
      <c r="Q126" s="5" t="n">
        <f aca="false">H126*Fees!$B$3-M126-O126</f>
        <v>16236</v>
      </c>
      <c r="R126" s="5" t="n">
        <f aca="false">H126*Fees!$B$3-N126-O126</f>
        <v>16216</v>
      </c>
    </row>
    <row r="127" customFormat="false" ht="15" hidden="false" customHeight="false" outlineLevel="0" collapsed="false">
      <c r="A127" s="3" t="n">
        <v>125</v>
      </c>
      <c r="B127" s="4" t="n">
        <v>46069.5833333333</v>
      </c>
      <c r="C127" s="4" t="n">
        <v>46069.7083333333</v>
      </c>
      <c r="D127" s="3" t="n">
        <v>3</v>
      </c>
      <c r="E127" s="5" t="n">
        <v>67827</v>
      </c>
      <c r="F127" s="5" t="n">
        <v>68827</v>
      </c>
      <c r="G127" s="3" t="s">
        <v>19</v>
      </c>
      <c r="H127" s="5" t="n">
        <f aca="false">E127-F127</f>
        <v>-1000</v>
      </c>
      <c r="I127" s="6" t="n">
        <f aca="false">MAX(Fees!$B$6,Fees!$B$5*Fees!$B$4*E127)+MAX(Fees!$B$6,Fees!$B$5*Fees!$B$4*F127)</f>
        <v>0.3</v>
      </c>
      <c r="J127" s="6" t="n">
        <f aca="false">2*Fees!$B$8</f>
        <v>0.3</v>
      </c>
      <c r="K127" s="6" t="n">
        <f aca="false">2*Fees!$B$10</f>
        <v>5</v>
      </c>
      <c r="L127" s="5" t="n">
        <f aca="false">I127*Fees!$B$3/Fees!$B$4</f>
        <v>30</v>
      </c>
      <c r="M127" s="5" t="n">
        <f aca="false">J127*Fees!$B$3/Fees!$B$7</f>
        <v>30</v>
      </c>
      <c r="N127" s="5" t="n">
        <f aca="false">K127*Fees!$B$3/Fees!$B$9</f>
        <v>50</v>
      </c>
      <c r="O127" s="5" t="n">
        <f aca="false">2*Fees!$B$11*Fees!$B$3</f>
        <v>20</v>
      </c>
      <c r="P127" s="5" t="n">
        <f aca="false">H127*Fees!$B$3-L127-O127</f>
        <v>-1050</v>
      </c>
      <c r="Q127" s="5" t="n">
        <f aca="false">H127*Fees!$B$3-M127-O127</f>
        <v>-1050</v>
      </c>
      <c r="R127" s="5" t="n">
        <f aca="false">H127*Fees!$B$3-N127-O127</f>
        <v>-1070</v>
      </c>
    </row>
    <row r="128" customFormat="false" ht="15" hidden="false" customHeight="false" outlineLevel="0" collapsed="false">
      <c r="A128" s="3" t="n">
        <v>126</v>
      </c>
      <c r="B128" s="4" t="n">
        <v>46075.5</v>
      </c>
      <c r="C128" s="4" t="n">
        <v>46078.5</v>
      </c>
      <c r="D128" s="3" t="n">
        <v>72</v>
      </c>
      <c r="E128" s="5" t="n">
        <v>67606</v>
      </c>
      <c r="F128" s="5" t="n">
        <v>68289.25</v>
      </c>
      <c r="G128" s="3" t="s">
        <v>21</v>
      </c>
      <c r="H128" s="5" t="n">
        <f aca="false">E128-F128</f>
        <v>-683.25</v>
      </c>
      <c r="I128" s="6" t="n">
        <f aca="false">MAX(Fees!$B$6,Fees!$B$5*Fees!$B$4*E128)+MAX(Fees!$B$6,Fees!$B$5*Fees!$B$4*F128)</f>
        <v>0.3</v>
      </c>
      <c r="J128" s="6" t="n">
        <f aca="false">2*Fees!$B$8</f>
        <v>0.3</v>
      </c>
      <c r="K128" s="6" t="n">
        <f aca="false">2*Fees!$B$10</f>
        <v>5</v>
      </c>
      <c r="L128" s="5" t="n">
        <f aca="false">I128*Fees!$B$3/Fees!$B$4</f>
        <v>30</v>
      </c>
      <c r="M128" s="5" t="n">
        <f aca="false">J128*Fees!$B$3/Fees!$B$7</f>
        <v>30</v>
      </c>
      <c r="N128" s="5" t="n">
        <f aca="false">K128*Fees!$B$3/Fees!$B$9</f>
        <v>50</v>
      </c>
      <c r="O128" s="5" t="n">
        <f aca="false">2*Fees!$B$11*Fees!$B$3</f>
        <v>20</v>
      </c>
      <c r="P128" s="5" t="n">
        <f aca="false">H128*Fees!$B$3-L128-O128</f>
        <v>-733.25</v>
      </c>
      <c r="Q128" s="5" t="n">
        <f aca="false">H128*Fees!$B$3-M128-O128</f>
        <v>-733.25</v>
      </c>
      <c r="R128" s="5" t="n">
        <f aca="false">H128*Fees!$B$3-N128-O128</f>
        <v>-753.25</v>
      </c>
    </row>
    <row r="129" customFormat="false" ht="15" hidden="false" customHeight="false" outlineLevel="0" collapsed="false">
      <c r="A129" s="3" t="n">
        <v>127</v>
      </c>
      <c r="B129" s="4" t="n">
        <v>46086.4583333333</v>
      </c>
      <c r="C129" s="4" t="n">
        <v>46092.4583333333</v>
      </c>
      <c r="D129" s="3" t="n">
        <v>143</v>
      </c>
      <c r="E129" s="5" t="n">
        <v>71665</v>
      </c>
      <c r="F129" s="5" t="n">
        <v>70592</v>
      </c>
      <c r="G129" s="3" t="s">
        <v>20</v>
      </c>
      <c r="H129" s="5" t="n">
        <f aca="false">E129-F129</f>
        <v>1073</v>
      </c>
      <c r="I129" s="6" t="n">
        <f aca="false">MAX(Fees!$B$6,Fees!$B$5*Fees!$B$4*E129)+MAX(Fees!$B$6,Fees!$B$5*Fees!$B$4*F129)</f>
        <v>0.3</v>
      </c>
      <c r="J129" s="6" t="n">
        <f aca="false">2*Fees!$B$8</f>
        <v>0.3</v>
      </c>
      <c r="K129" s="6" t="n">
        <f aca="false">2*Fees!$B$10</f>
        <v>5</v>
      </c>
      <c r="L129" s="5" t="n">
        <f aca="false">I129*Fees!$B$3/Fees!$B$4</f>
        <v>30</v>
      </c>
      <c r="M129" s="5" t="n">
        <f aca="false">J129*Fees!$B$3/Fees!$B$7</f>
        <v>30</v>
      </c>
      <c r="N129" s="5" t="n">
        <f aca="false">K129*Fees!$B$3/Fees!$B$9</f>
        <v>50</v>
      </c>
      <c r="O129" s="5" t="n">
        <f aca="false">2*Fees!$B$11*Fees!$B$3</f>
        <v>20</v>
      </c>
      <c r="P129" s="5" t="n">
        <f aca="false">H129*Fees!$B$3-L129-O129</f>
        <v>1023</v>
      </c>
      <c r="Q129" s="5" t="n">
        <f aca="false">H129*Fees!$B$3-M129-O129</f>
        <v>1023</v>
      </c>
      <c r="R129" s="5" t="n">
        <f aca="false">H129*Fees!$B$3-N129-O129</f>
        <v>1003</v>
      </c>
    </row>
    <row r="130" customFormat="false" ht="15" hidden="false" customHeight="false" outlineLevel="0" collapsed="false">
      <c r="A130" s="3" t="n">
        <v>128</v>
      </c>
      <c r="B130" s="4" t="n">
        <v>46099.8333333333</v>
      </c>
      <c r="C130" s="4" t="n">
        <v>46104.375</v>
      </c>
      <c r="D130" s="3" t="n">
        <v>109</v>
      </c>
      <c r="E130" s="5" t="n">
        <v>71259</v>
      </c>
      <c r="F130" s="5" t="n">
        <v>70721</v>
      </c>
      <c r="G130" s="3" t="s">
        <v>20</v>
      </c>
      <c r="H130" s="5" t="n">
        <f aca="false">E130-F130</f>
        <v>538</v>
      </c>
      <c r="I130" s="6" t="n">
        <f aca="false">MAX(Fees!$B$6,Fees!$B$5*Fees!$B$4*E130)+MAX(Fees!$B$6,Fees!$B$5*Fees!$B$4*F130)</f>
        <v>0.3</v>
      </c>
      <c r="J130" s="6" t="n">
        <f aca="false">2*Fees!$B$8</f>
        <v>0.3</v>
      </c>
      <c r="K130" s="6" t="n">
        <f aca="false">2*Fees!$B$10</f>
        <v>5</v>
      </c>
      <c r="L130" s="5" t="n">
        <f aca="false">I130*Fees!$B$3/Fees!$B$4</f>
        <v>30</v>
      </c>
      <c r="M130" s="5" t="n">
        <f aca="false">J130*Fees!$B$3/Fees!$B$7</f>
        <v>30</v>
      </c>
      <c r="N130" s="5" t="n">
        <f aca="false">K130*Fees!$B$3/Fees!$B$9</f>
        <v>50</v>
      </c>
      <c r="O130" s="5" t="n">
        <f aca="false">2*Fees!$B$11*Fees!$B$3</f>
        <v>20</v>
      </c>
      <c r="P130" s="5" t="n">
        <f aca="false">H130*Fees!$B$3-L130-O130</f>
        <v>488</v>
      </c>
      <c r="Q130" s="5" t="n">
        <f aca="false">H130*Fees!$B$3-M130-O130</f>
        <v>488</v>
      </c>
      <c r="R130" s="5" t="n">
        <f aca="false">H130*Fees!$B$3-N130-O130</f>
        <v>468</v>
      </c>
    </row>
    <row r="131" customFormat="false" ht="15" hidden="false" customHeight="false" outlineLevel="0" collapsed="false">
      <c r="A131" s="3" t="n">
        <v>129</v>
      </c>
      <c r="B131" s="4" t="n">
        <v>46113.9166666667</v>
      </c>
      <c r="C131" s="4" t="n">
        <v>46116.5</v>
      </c>
      <c r="D131" s="3" t="n">
        <v>62</v>
      </c>
      <c r="E131" s="5" t="n">
        <v>67349</v>
      </c>
      <c r="F131" s="5" t="n">
        <v>67373</v>
      </c>
      <c r="G131" s="3" t="s">
        <v>20</v>
      </c>
      <c r="H131" s="5" t="n">
        <f aca="false">E131-F131</f>
        <v>-24</v>
      </c>
      <c r="I131" s="6" t="n">
        <f aca="false">MAX(Fees!$B$6,Fees!$B$5*Fees!$B$4*E131)+MAX(Fees!$B$6,Fees!$B$5*Fees!$B$4*F131)</f>
        <v>0.3</v>
      </c>
      <c r="J131" s="6" t="n">
        <f aca="false">2*Fees!$B$8</f>
        <v>0.3</v>
      </c>
      <c r="K131" s="6" t="n">
        <f aca="false">2*Fees!$B$10</f>
        <v>5</v>
      </c>
      <c r="L131" s="5" t="n">
        <f aca="false">I131*Fees!$B$3/Fees!$B$4</f>
        <v>30</v>
      </c>
      <c r="M131" s="5" t="n">
        <f aca="false">J131*Fees!$B$3/Fees!$B$7</f>
        <v>30</v>
      </c>
      <c r="N131" s="5" t="n">
        <f aca="false">K131*Fees!$B$3/Fees!$B$9</f>
        <v>50</v>
      </c>
      <c r="O131" s="5" t="n">
        <f aca="false">2*Fees!$B$11*Fees!$B$3</f>
        <v>20</v>
      </c>
      <c r="P131" s="5" t="n">
        <f aca="false">H131*Fees!$B$3-L131-O131</f>
        <v>-74</v>
      </c>
      <c r="Q131" s="5" t="n">
        <f aca="false">H131*Fees!$B$3-M131-O131</f>
        <v>-74</v>
      </c>
      <c r="R131" s="5" t="n">
        <f aca="false">H131*Fees!$B$3-N131-O131</f>
        <v>-94</v>
      </c>
    </row>
    <row r="132" customFormat="false" ht="15" hidden="false" customHeight="false" outlineLevel="0" collapsed="false">
      <c r="A132" s="3" t="n">
        <v>130</v>
      </c>
      <c r="B132" s="4" t="n">
        <v>46119.4583333333</v>
      </c>
      <c r="C132" s="4" t="n">
        <v>46119.6666666667</v>
      </c>
      <c r="D132" s="3" t="n">
        <v>5</v>
      </c>
      <c r="E132" s="5" t="n">
        <v>67853</v>
      </c>
      <c r="F132" s="5" t="n">
        <v>69007</v>
      </c>
      <c r="G132" s="3" t="s">
        <v>19</v>
      </c>
      <c r="H132" s="5" t="n">
        <f aca="false">E132-F132</f>
        <v>-1154</v>
      </c>
      <c r="I132" s="6" t="n">
        <f aca="false">MAX(Fees!$B$6,Fees!$B$5*Fees!$B$4*E132)+MAX(Fees!$B$6,Fees!$B$5*Fees!$B$4*F132)</f>
        <v>0.3</v>
      </c>
      <c r="J132" s="6" t="n">
        <f aca="false">2*Fees!$B$8</f>
        <v>0.3</v>
      </c>
      <c r="K132" s="6" t="n">
        <f aca="false">2*Fees!$B$10</f>
        <v>5</v>
      </c>
      <c r="L132" s="5" t="n">
        <f aca="false">I132*Fees!$B$3/Fees!$B$4</f>
        <v>30</v>
      </c>
      <c r="M132" s="5" t="n">
        <f aca="false">J132*Fees!$B$3/Fees!$B$7</f>
        <v>30</v>
      </c>
      <c r="N132" s="5" t="n">
        <f aca="false">K132*Fees!$B$3/Fees!$B$9</f>
        <v>50</v>
      </c>
      <c r="O132" s="5" t="n">
        <f aca="false">2*Fees!$B$11*Fees!$B$3</f>
        <v>20</v>
      </c>
      <c r="P132" s="5" t="n">
        <f aca="false">H132*Fees!$B$3-L132-O132</f>
        <v>-1204</v>
      </c>
      <c r="Q132" s="5" t="n">
        <f aca="false">H132*Fees!$B$3-M132-O132</f>
        <v>-1204</v>
      </c>
      <c r="R132" s="5" t="n">
        <f aca="false">H132*Fees!$B$3-N132-O132</f>
        <v>-1224</v>
      </c>
    </row>
    <row r="133" customFormat="false" ht="15" hidden="false" customHeight="false" outlineLevel="0" collapsed="false">
      <c r="A133" s="3" t="n">
        <v>131</v>
      </c>
      <c r="B133" s="4" t="n">
        <v>46169.5833333333</v>
      </c>
      <c r="C133" s="4" t="n">
        <v>46171.5416666667</v>
      </c>
      <c r="D133" s="3" t="n">
        <v>47</v>
      </c>
      <c r="E133" s="5" t="n">
        <v>74727.99</v>
      </c>
      <c r="F133" s="5" t="n">
        <v>73944.42</v>
      </c>
      <c r="G133" s="3" t="s">
        <v>20</v>
      </c>
      <c r="H133" s="5" t="n">
        <f aca="false">E133-F133</f>
        <v>783.570000000007</v>
      </c>
      <c r="I133" s="6" t="n">
        <f aca="false">MAX(Fees!$B$6,Fees!$B$5*Fees!$B$4*E133)+MAX(Fees!$B$6,Fees!$B$5*Fees!$B$4*F133)</f>
        <v>0.3</v>
      </c>
      <c r="J133" s="6" t="n">
        <f aca="false">2*Fees!$B$8</f>
        <v>0.3</v>
      </c>
      <c r="K133" s="6" t="n">
        <f aca="false">2*Fees!$B$10</f>
        <v>5</v>
      </c>
      <c r="L133" s="5" t="n">
        <f aca="false">I133*Fees!$B$3/Fees!$B$4</f>
        <v>30</v>
      </c>
      <c r="M133" s="5" t="n">
        <f aca="false">J133*Fees!$B$3/Fees!$B$7</f>
        <v>30</v>
      </c>
      <c r="N133" s="5" t="n">
        <f aca="false">K133*Fees!$B$3/Fees!$B$9</f>
        <v>50</v>
      </c>
      <c r="O133" s="5" t="n">
        <f aca="false">2*Fees!$B$11*Fees!$B$3</f>
        <v>20</v>
      </c>
      <c r="P133" s="5" t="n">
        <f aca="false">H133*Fees!$B$3-L133-O133</f>
        <v>733.570000000007</v>
      </c>
      <c r="Q133" s="5" t="n">
        <f aca="false">H133*Fees!$B$3-M133-O133</f>
        <v>733.570000000007</v>
      </c>
      <c r="R133" s="5" t="n">
        <f aca="false">H133*Fees!$B$3-N133-O133</f>
        <v>713.570000000007</v>
      </c>
    </row>
    <row r="134" customFormat="false" ht="15" hidden="false" customHeight="false" outlineLevel="0" collapsed="false">
      <c r="A134" s="3" t="n">
        <v>132</v>
      </c>
      <c r="B134" s="4" t="n">
        <v>46174.0833333333</v>
      </c>
      <c r="C134" s="4" t="n">
        <v>46180</v>
      </c>
      <c r="D134" s="3" t="n">
        <v>142</v>
      </c>
      <c r="E134" s="5" t="n">
        <v>73252.99</v>
      </c>
      <c r="F134" s="5" t="n">
        <v>61676.39</v>
      </c>
      <c r="G134" s="3" t="s">
        <v>20</v>
      </c>
      <c r="H134" s="5" t="n">
        <f aca="false">E134-F134</f>
        <v>11576.6</v>
      </c>
      <c r="I134" s="6" t="n">
        <f aca="false">MAX(Fees!$B$6,Fees!$B$5*Fees!$B$4*E134)+MAX(Fees!$B$6,Fees!$B$5*Fees!$B$4*F134)</f>
        <v>0.3</v>
      </c>
      <c r="J134" s="6" t="n">
        <f aca="false">2*Fees!$B$8</f>
        <v>0.3</v>
      </c>
      <c r="K134" s="6" t="n">
        <f aca="false">2*Fees!$B$10</f>
        <v>5</v>
      </c>
      <c r="L134" s="5" t="n">
        <f aca="false">I134*Fees!$B$3/Fees!$B$4</f>
        <v>30</v>
      </c>
      <c r="M134" s="5" t="n">
        <f aca="false">J134*Fees!$B$3/Fees!$B$7</f>
        <v>30</v>
      </c>
      <c r="N134" s="5" t="n">
        <f aca="false">K134*Fees!$B$3/Fees!$B$9</f>
        <v>50</v>
      </c>
      <c r="O134" s="5" t="n">
        <f aca="false">2*Fees!$B$11*Fees!$B$3</f>
        <v>20</v>
      </c>
      <c r="P134" s="5" t="n">
        <f aca="false">H134*Fees!$B$3-L134-O134</f>
        <v>11526.6</v>
      </c>
      <c r="Q134" s="5" t="n">
        <f aca="false">H134*Fees!$B$3-M134-O134</f>
        <v>11526.6</v>
      </c>
      <c r="R134" s="5" t="n">
        <f aca="false">H134*Fees!$B$3-N134-O134</f>
        <v>11506.6</v>
      </c>
    </row>
    <row r="135" customFormat="false" ht="15" hidden="false" customHeight="false" outlineLevel="0" collapsed="false">
      <c r="A135" s="3" t="n">
        <v>133</v>
      </c>
      <c r="B135" s="4" t="n">
        <v>46187.5</v>
      </c>
      <c r="C135" s="4" t="n">
        <v>46187.75</v>
      </c>
      <c r="D135" s="3" t="n">
        <v>6</v>
      </c>
      <c r="E135" s="5" t="n">
        <v>63993.45</v>
      </c>
      <c r="F135" s="5" t="n">
        <v>64683.3</v>
      </c>
      <c r="G135" s="3" t="s">
        <v>21</v>
      </c>
      <c r="H135" s="5" t="n">
        <f aca="false">E135-F135</f>
        <v>-689.850000000006</v>
      </c>
      <c r="I135" s="6" t="n">
        <f aca="false">MAX(Fees!$B$6,Fees!$B$5*Fees!$B$4*E135)+MAX(Fees!$B$6,Fees!$B$5*Fees!$B$4*F135)</f>
        <v>0.3</v>
      </c>
      <c r="J135" s="6" t="n">
        <f aca="false">2*Fees!$B$8</f>
        <v>0.3</v>
      </c>
      <c r="K135" s="6" t="n">
        <f aca="false">2*Fees!$B$10</f>
        <v>5</v>
      </c>
      <c r="L135" s="5" t="n">
        <f aca="false">I135*Fees!$B$3/Fees!$B$4</f>
        <v>30</v>
      </c>
      <c r="M135" s="5" t="n">
        <f aca="false">J135*Fees!$B$3/Fees!$B$7</f>
        <v>30</v>
      </c>
      <c r="N135" s="5" t="n">
        <f aca="false">K135*Fees!$B$3/Fees!$B$9</f>
        <v>50</v>
      </c>
      <c r="O135" s="5" t="n">
        <f aca="false">2*Fees!$B$11*Fees!$B$3</f>
        <v>20</v>
      </c>
      <c r="P135" s="5" t="n">
        <f aca="false">H135*Fees!$B$3-L135-O135</f>
        <v>-739.850000000006</v>
      </c>
      <c r="Q135" s="5" t="n">
        <f aca="false">H135*Fees!$B$3-M135-O135</f>
        <v>-739.850000000006</v>
      </c>
      <c r="R135" s="5" t="n">
        <f aca="false">H135*Fees!$B$3-N135-O135</f>
        <v>-759.850000000006</v>
      </c>
    </row>
    <row r="136" customFormat="false" ht="15" hidden="false" customHeight="false" outlineLevel="0" collapsed="false">
      <c r="A136" s="3" t="n">
        <v>134</v>
      </c>
      <c r="B136" s="4" t="n">
        <v>46194.7083333333</v>
      </c>
      <c r="C136" s="4" t="n">
        <v>46194.9166666667</v>
      </c>
      <c r="D136" s="3" t="n">
        <v>5</v>
      </c>
      <c r="E136" s="5" t="n">
        <v>63769.91</v>
      </c>
      <c r="F136" s="5" t="n">
        <v>64458.1</v>
      </c>
      <c r="G136" s="3" t="s">
        <v>21</v>
      </c>
      <c r="H136" s="5" t="n">
        <f aca="false">E136-F136</f>
        <v>-688.189999999995</v>
      </c>
      <c r="I136" s="6" t="n">
        <f aca="false">MAX(Fees!$B$6,Fees!$B$5*Fees!$B$4*E136)+MAX(Fees!$B$6,Fees!$B$5*Fees!$B$4*F136)</f>
        <v>0.3</v>
      </c>
      <c r="J136" s="6" t="n">
        <f aca="false">2*Fees!$B$8</f>
        <v>0.3</v>
      </c>
      <c r="K136" s="6" t="n">
        <f aca="false">2*Fees!$B$10</f>
        <v>5</v>
      </c>
      <c r="L136" s="5" t="n">
        <f aca="false">I136*Fees!$B$3/Fees!$B$4</f>
        <v>30</v>
      </c>
      <c r="M136" s="5" t="n">
        <f aca="false">J136*Fees!$B$3/Fees!$B$7</f>
        <v>30</v>
      </c>
      <c r="N136" s="5" t="n">
        <f aca="false">K136*Fees!$B$3/Fees!$B$9</f>
        <v>50</v>
      </c>
      <c r="O136" s="5" t="n">
        <f aca="false">2*Fees!$B$11*Fees!$B$3</f>
        <v>20</v>
      </c>
      <c r="P136" s="5" t="n">
        <f aca="false">H136*Fees!$B$3-L136-O136</f>
        <v>-738.189999999995</v>
      </c>
      <c r="Q136" s="5" t="n">
        <f aca="false">H136*Fees!$B$3-M136-O136</f>
        <v>-738.189999999995</v>
      </c>
      <c r="R136" s="5" t="n">
        <f aca="false">H136*Fees!$B$3-N136-O136</f>
        <v>-758.189999999995</v>
      </c>
    </row>
    <row r="137" customFormat="false" ht="15" hidden="false" customHeight="false" outlineLevel="0" collapsed="false">
      <c r="A137" s="3" t="n">
        <v>135</v>
      </c>
      <c r="B137" s="4" t="n">
        <v>46201.5416666667</v>
      </c>
      <c r="C137" s="4" t="n">
        <v>46202</v>
      </c>
      <c r="D137" s="3" t="n">
        <v>11</v>
      </c>
      <c r="E137" s="5" t="n">
        <v>59601.93</v>
      </c>
      <c r="F137" s="5" t="n">
        <v>59948.92</v>
      </c>
      <c r="G137" s="3" t="s">
        <v>19</v>
      </c>
      <c r="H137" s="5" t="n">
        <f aca="false">E137-F137</f>
        <v>-346.989999999998</v>
      </c>
      <c r="I137" s="6" t="n">
        <f aca="false">MAX(Fees!$B$6,Fees!$B$5*Fees!$B$4*E137)+MAX(Fees!$B$6,Fees!$B$5*Fees!$B$4*F137)</f>
        <v>0.3</v>
      </c>
      <c r="J137" s="6" t="n">
        <f aca="false">2*Fees!$B$8</f>
        <v>0.3</v>
      </c>
      <c r="K137" s="6" t="n">
        <f aca="false">2*Fees!$B$10</f>
        <v>5</v>
      </c>
      <c r="L137" s="5" t="n">
        <f aca="false">I137*Fees!$B$3/Fees!$B$4</f>
        <v>30</v>
      </c>
      <c r="M137" s="5" t="n">
        <f aca="false">J137*Fees!$B$3/Fees!$B$7</f>
        <v>30</v>
      </c>
      <c r="N137" s="5" t="n">
        <f aca="false">K137*Fees!$B$3/Fees!$B$9</f>
        <v>50</v>
      </c>
      <c r="O137" s="5" t="n">
        <f aca="false">2*Fees!$B$11*Fees!$B$3</f>
        <v>20</v>
      </c>
      <c r="P137" s="5" t="n">
        <f aca="false">H137*Fees!$B$3-L137-O137</f>
        <v>-396.989999999998</v>
      </c>
      <c r="Q137" s="5" t="n">
        <f aca="false">H137*Fees!$B$3-M137-O137</f>
        <v>-396.989999999998</v>
      </c>
      <c r="R137" s="5" t="n">
        <f aca="false">H137*Fees!$B$3-N137-O137</f>
        <v>-416.989999999998</v>
      </c>
    </row>
    <row r="138" customFormat="false" ht="15" hidden="false" customHeight="false" outlineLevel="0" collapsed="false">
      <c r="A138" s="3" t="n">
        <v>136</v>
      </c>
      <c r="B138" s="4" t="n">
        <v>46219.2916666667</v>
      </c>
      <c r="C138" s="4" t="n">
        <v>46219.5416666667</v>
      </c>
      <c r="D138" s="3" t="n">
        <v>6</v>
      </c>
      <c r="E138" s="5" t="n">
        <v>64162.17</v>
      </c>
      <c r="F138" s="5" t="n">
        <v>64434.53</v>
      </c>
      <c r="G138" s="3" t="s">
        <v>19</v>
      </c>
      <c r="H138" s="5" t="n">
        <f aca="false">E138-F138</f>
        <v>-272.360000000001</v>
      </c>
      <c r="I138" s="6" t="n">
        <f aca="false">MAX(Fees!$B$6,Fees!$B$5*Fees!$B$4*E138)+MAX(Fees!$B$6,Fees!$B$5*Fees!$B$4*F138)</f>
        <v>0.3</v>
      </c>
      <c r="J138" s="6" t="n">
        <f aca="false">2*Fees!$B$8</f>
        <v>0.3</v>
      </c>
      <c r="K138" s="6" t="n">
        <f aca="false">2*Fees!$B$10</f>
        <v>5</v>
      </c>
      <c r="L138" s="5" t="n">
        <f aca="false">I138*Fees!$B$3/Fees!$B$4</f>
        <v>30</v>
      </c>
      <c r="M138" s="5" t="n">
        <f aca="false">J138*Fees!$B$3/Fees!$B$7</f>
        <v>30</v>
      </c>
      <c r="N138" s="5" t="n">
        <f aca="false">K138*Fees!$B$3/Fees!$B$9</f>
        <v>50</v>
      </c>
      <c r="O138" s="5" t="n">
        <f aca="false">2*Fees!$B$11*Fees!$B$3</f>
        <v>20</v>
      </c>
      <c r="P138" s="5" t="n">
        <f aca="false">H138*Fees!$B$3-L138-O138</f>
        <v>-322.360000000001</v>
      </c>
      <c r="Q138" s="5" t="n">
        <f aca="false">H138*Fees!$B$3-M138-O138</f>
        <v>-322.360000000001</v>
      </c>
      <c r="R138" s="5" t="n">
        <f aca="false">H138*Fees!$B$3-N138-O138</f>
        <v>-342.360000000001</v>
      </c>
    </row>
    <row r="139" customFormat="false" ht="15" hidden="false" customHeight="false" outlineLevel="0" collapsed="false">
      <c r="A139" s="3" t="n">
        <v>137</v>
      </c>
      <c r="B139" s="4" t="n">
        <v>46230.8333333333</v>
      </c>
      <c r="C139" s="4" t="n">
        <v>46232.125</v>
      </c>
      <c r="D139" s="3" t="n">
        <v>31</v>
      </c>
      <c r="E139" s="5" t="n">
        <v>63697.72</v>
      </c>
      <c r="F139" s="5" t="n">
        <v>64348.12</v>
      </c>
      <c r="G139" s="3" t="s">
        <v>20</v>
      </c>
      <c r="H139" s="5" t="n">
        <f aca="false">E139-F139</f>
        <v>-650.400000000002</v>
      </c>
      <c r="I139" s="6" t="n">
        <f aca="false">MAX(Fees!$B$6,Fees!$B$5*Fees!$B$4*E139)+MAX(Fees!$B$6,Fees!$B$5*Fees!$B$4*F139)</f>
        <v>0.3</v>
      </c>
      <c r="J139" s="6" t="n">
        <f aca="false">2*Fees!$B$8</f>
        <v>0.3</v>
      </c>
      <c r="K139" s="6" t="n">
        <f aca="false">2*Fees!$B$10</f>
        <v>5</v>
      </c>
      <c r="L139" s="5" t="n">
        <f aca="false">I139*Fees!$B$3/Fees!$B$4</f>
        <v>30</v>
      </c>
      <c r="M139" s="5" t="n">
        <f aca="false">J139*Fees!$B$3/Fees!$B$7</f>
        <v>30</v>
      </c>
      <c r="N139" s="5" t="n">
        <f aca="false">K139*Fees!$B$3/Fees!$B$9</f>
        <v>50</v>
      </c>
      <c r="O139" s="5" t="n">
        <f aca="false">2*Fees!$B$11*Fees!$B$3</f>
        <v>20</v>
      </c>
      <c r="P139" s="5" t="n">
        <f aca="false">H139*Fees!$B$3-L139-O139</f>
        <v>-700.400000000002</v>
      </c>
      <c r="Q139" s="5" t="n">
        <f aca="false">H139*Fees!$B$3-M139-O139</f>
        <v>-700.400000000002</v>
      </c>
      <c r="R139" s="5" t="n">
        <f aca="false">H139*Fees!$B$3-N139-O139</f>
        <v>-720.400000000002</v>
      </c>
    </row>
    <row r="140" customFormat="false" ht="15" hidden="false" customHeight="false" outlineLevel="0" collapsed="false">
      <c r="A140" s="3" t="n">
        <v>138</v>
      </c>
      <c r="B140" s="4" t="n">
        <v>46244.8333333333</v>
      </c>
      <c r="C140" s="4" t="n">
        <v>46245.3333333333</v>
      </c>
      <c r="D140" s="3" t="n">
        <v>12</v>
      </c>
      <c r="E140" s="5" t="n">
        <v>63911.16</v>
      </c>
      <c r="F140" s="5" t="n">
        <v>64330.98</v>
      </c>
      <c r="G140" s="3" t="s">
        <v>20</v>
      </c>
      <c r="H140" s="5" t="n">
        <f aca="false">E140-F140</f>
        <v>-419.82</v>
      </c>
      <c r="I140" s="6" t="n">
        <f aca="false">MAX(Fees!$B$6,Fees!$B$5*Fees!$B$4*E140)+MAX(Fees!$B$6,Fees!$B$5*Fees!$B$4*F140)</f>
        <v>0.3</v>
      </c>
      <c r="J140" s="6" t="n">
        <f aca="false">2*Fees!$B$8</f>
        <v>0.3</v>
      </c>
      <c r="K140" s="6" t="n">
        <f aca="false">2*Fees!$B$10</f>
        <v>5</v>
      </c>
      <c r="L140" s="5" t="n">
        <f aca="false">I140*Fees!$B$3/Fees!$B$4</f>
        <v>30</v>
      </c>
      <c r="M140" s="5" t="n">
        <f aca="false">J140*Fees!$B$3/Fees!$B$7</f>
        <v>30</v>
      </c>
      <c r="N140" s="5" t="n">
        <f aca="false">K140*Fees!$B$3/Fees!$B$9</f>
        <v>50</v>
      </c>
      <c r="O140" s="5" t="n">
        <f aca="false">2*Fees!$B$11*Fees!$B$3</f>
        <v>20</v>
      </c>
      <c r="P140" s="5" t="n">
        <f aca="false">H140*Fees!$B$3-L140-O140</f>
        <v>-469.82</v>
      </c>
      <c r="Q140" s="5" t="n">
        <f aca="false">H140*Fees!$B$3-M140-O140</f>
        <v>-469.82</v>
      </c>
      <c r="R140" s="5" t="n">
        <f aca="false">H140*Fees!$B$3-N140-O140</f>
        <v>-489.82</v>
      </c>
    </row>
    <row r="141" customFormat="false" ht="15" hidden="false" customHeight="false" outlineLevel="0" collapsed="false">
      <c r="A141" s="1" t="s">
        <v>22</v>
      </c>
      <c r="D141" s="7" t="n">
        <f aca="false">SUM(D3:D140)</f>
        <v>5959</v>
      </c>
      <c r="H141" s="8" t="n">
        <f aca="false">SUM(H3:H140)</f>
        <v>36572.44</v>
      </c>
      <c r="L141" s="8" t="n">
        <f aca="false">SUM(L3:L140)</f>
        <v>4215.136442</v>
      </c>
      <c r="M141" s="8" t="n">
        <f aca="false">SUM(M3:M140)</f>
        <v>4140</v>
      </c>
      <c r="N141" s="8" t="n">
        <f aca="false">SUM(N3:N140)</f>
        <v>6900</v>
      </c>
      <c r="O141" s="8" t="n">
        <f aca="false">SUM(O3:O140)</f>
        <v>2760</v>
      </c>
      <c r="P141" s="8" t="n">
        <f aca="false">SUM(P3:P140)</f>
        <v>29597.303558</v>
      </c>
      <c r="Q141" s="8" t="n">
        <f aca="false">SUM(Q3:Q140)</f>
        <v>29672.44</v>
      </c>
      <c r="R141" s="8" t="n">
        <f aca="false">SUM(R3:R140)</f>
        <v>26912.44</v>
      </c>
    </row>
    <row r="142" customFormat="false" ht="15" hidden="false" customHeight="false" outlineLevel="0" collapsed="false">
      <c r="A142" s="1" t="s">
        <v>23</v>
      </c>
      <c r="P142" s="1" t="n">
        <f aca="false">COUNTIF(P3:P140,"&gt;0")</f>
        <v>30</v>
      </c>
    </row>
    <row r="143" customFormat="false" ht="15" hidden="false" customHeight="false" outlineLevel="0" collapsed="false">
      <c r="A143" s="1" t="s">
        <v>24</v>
      </c>
      <c r="P143" s="1" t="n">
        <f aca="false">COUNT(P3:P140)</f>
        <v>138</v>
      </c>
    </row>
  </sheetData>
  <autoFilter ref="A2:R14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4"/>
    <col collapsed="false" customWidth="true" hidden="false" outlineLevel="0" max="3" min="3" style="0" width="70"/>
  </cols>
  <sheetData>
    <row r="1" customFormat="false" ht="15" hidden="false" customHeight="false" outlineLevel="0" collapsed="false">
      <c r="A1" s="1" t="s">
        <v>25</v>
      </c>
      <c r="B1" s="3"/>
      <c r="C1" s="3"/>
    </row>
    <row r="2" customFormat="false" ht="15" hidden="false" customHeight="false" outlineLevel="0" collapsed="false">
      <c r="A2" s="1" t="s">
        <v>26</v>
      </c>
      <c r="B2" s="3" t="s">
        <v>27</v>
      </c>
      <c r="C2" s="3" t="s">
        <v>28</v>
      </c>
    </row>
    <row r="3" customFormat="false" ht="15" hidden="false" customHeight="false" outlineLevel="0" collapsed="false">
      <c r="A3" s="3" t="s">
        <v>29</v>
      </c>
      <c r="B3" s="9" t="n">
        <v>1</v>
      </c>
      <c r="C3" s="3" t="s">
        <v>30</v>
      </c>
    </row>
    <row r="4" customFormat="false" ht="15" hidden="false" customHeight="false" outlineLevel="0" collapsed="false">
      <c r="A4" s="3" t="s">
        <v>31</v>
      </c>
      <c r="B4" s="9" t="n">
        <v>0.01</v>
      </c>
      <c r="C4" s="3" t="s">
        <v>32</v>
      </c>
    </row>
    <row r="5" customFormat="false" ht="15" hidden="false" customHeight="false" outlineLevel="0" collapsed="false">
      <c r="A5" s="3" t="s">
        <v>33</v>
      </c>
      <c r="B5" s="10" t="n">
        <v>0.0002</v>
      </c>
      <c r="C5" s="3" t="s">
        <v>34</v>
      </c>
    </row>
    <row r="6" customFormat="false" ht="15" hidden="false" customHeight="false" outlineLevel="0" collapsed="false">
      <c r="A6" s="3" t="s">
        <v>35</v>
      </c>
      <c r="B6" s="11" t="n">
        <v>0.15</v>
      </c>
      <c r="C6" s="3" t="s">
        <v>36</v>
      </c>
    </row>
    <row r="7" customFormat="false" ht="15" hidden="false" customHeight="false" outlineLevel="0" collapsed="false">
      <c r="A7" s="3" t="s">
        <v>37</v>
      </c>
      <c r="B7" s="9" t="n">
        <v>0.01</v>
      </c>
      <c r="C7" s="3" t="s">
        <v>38</v>
      </c>
    </row>
    <row r="8" customFormat="false" ht="15" hidden="false" customHeight="false" outlineLevel="0" collapsed="false">
      <c r="A8" s="3" t="s">
        <v>39</v>
      </c>
      <c r="B8" s="12" t="n">
        <v>0.15</v>
      </c>
      <c r="C8" s="3" t="s">
        <v>40</v>
      </c>
    </row>
    <row r="9" customFormat="false" ht="15" hidden="false" customHeight="false" outlineLevel="0" collapsed="false">
      <c r="A9" s="3" t="s">
        <v>41</v>
      </c>
      <c r="B9" s="9" t="n">
        <v>0.1</v>
      </c>
      <c r="C9" s="3" t="s">
        <v>42</v>
      </c>
    </row>
    <row r="10" customFormat="false" ht="15" hidden="false" customHeight="false" outlineLevel="0" collapsed="false">
      <c r="A10" s="3" t="s">
        <v>43</v>
      </c>
      <c r="B10" s="12" t="n">
        <v>2.5</v>
      </c>
      <c r="C10" s="3" t="s">
        <v>44</v>
      </c>
    </row>
    <row r="11" customFormat="false" ht="15" hidden="false" customHeight="false" outlineLevel="0" collapsed="false">
      <c r="A11" s="3" t="s">
        <v>45</v>
      </c>
      <c r="B11" s="11" t="n">
        <v>10</v>
      </c>
      <c r="C11" s="3" t="s">
        <v>46</v>
      </c>
    </row>
    <row r="12" customFormat="false" ht="15" hidden="false" customHeight="false" outlineLevel="0" collapsed="false">
      <c r="A12" s="3"/>
      <c r="B12" s="3"/>
      <c r="C12" s="3"/>
    </row>
    <row r="13" customFormat="false" ht="15" hidden="false" customHeight="false" outlineLevel="0" collapsed="false">
      <c r="A13" s="1" t="s">
        <v>47</v>
      </c>
      <c r="B13" s="3" t="s">
        <v>48</v>
      </c>
      <c r="C13" s="3" t="s">
        <v>49</v>
      </c>
    </row>
    <row r="14" customFormat="false" ht="15" hidden="false" customHeight="false" outlineLevel="0" collapsed="false">
      <c r="A14" s="3" t="s">
        <v>50</v>
      </c>
      <c r="B14" s="6" t="n">
        <f aca="false">2*MAX(B6,B5*B4*B17)</f>
        <v>0.336</v>
      </c>
      <c r="C14" s="3" t="s">
        <v>51</v>
      </c>
    </row>
    <row r="15" customFormat="false" ht="15" hidden="false" customHeight="false" outlineLevel="0" collapsed="false">
      <c r="A15" s="3" t="s">
        <v>52</v>
      </c>
      <c r="B15" s="6" t="n">
        <f aca="false">2*B8</f>
        <v>0.3</v>
      </c>
      <c r="C15" s="3" t="s">
        <v>53</v>
      </c>
    </row>
    <row r="16" customFormat="false" ht="15" hidden="false" customHeight="false" outlineLevel="0" collapsed="false">
      <c r="A16" s="3" t="s">
        <v>54</v>
      </c>
      <c r="B16" s="6" t="n">
        <f aca="false">2*B10</f>
        <v>5</v>
      </c>
      <c r="C16" s="3" t="s">
        <v>53</v>
      </c>
    </row>
    <row r="17" customFormat="false" ht="15" hidden="false" customHeight="false" outlineLevel="0" collapsed="false">
      <c r="A17" s="3" t="s">
        <v>55</v>
      </c>
      <c r="B17" s="13" t="n">
        <v>84000</v>
      </c>
      <c r="C17" s="3" t="s">
        <v>56</v>
      </c>
    </row>
    <row r="18" customFormat="false" ht="15" hidden="false" customHeight="false" outlineLevel="0" collapsed="false">
      <c r="A18" s="3"/>
      <c r="B18" s="3"/>
      <c r="C18" s="3"/>
    </row>
    <row r="19" customFormat="false" ht="15" hidden="false" customHeight="false" outlineLevel="0" collapsed="false">
      <c r="A19" s="1" t="s">
        <v>57</v>
      </c>
      <c r="B19" s="3"/>
      <c r="C19" s="3"/>
    </row>
    <row r="20" customFormat="false" ht="15" hidden="false" customHeight="false" outlineLevel="0" collapsed="false">
      <c r="A20" s="3" t="s">
        <v>50</v>
      </c>
      <c r="B20" s="14" t="n">
        <f aca="false">B3/B4</f>
        <v>100</v>
      </c>
      <c r="C20" s="3"/>
    </row>
    <row r="21" customFormat="false" ht="15" hidden="false" customHeight="false" outlineLevel="0" collapsed="false">
      <c r="A21" s="3" t="s">
        <v>52</v>
      </c>
      <c r="B21" s="14" t="n">
        <f aca="false">B3/B7</f>
        <v>100</v>
      </c>
      <c r="C21" s="3"/>
    </row>
    <row r="22" customFormat="false" ht="15" hidden="false" customHeight="false" outlineLevel="0" collapsed="false">
      <c r="A22" s="3" t="s">
        <v>54</v>
      </c>
      <c r="B22" s="14" t="n">
        <f aca="false">B3/B9</f>
        <v>10</v>
      </c>
      <c r="C22" s="3"/>
    </row>
    <row r="23" customFormat="false" ht="15" hidden="false" customHeight="false" outlineLevel="0" collapsed="false">
      <c r="A23" s="3"/>
      <c r="B23" s="3"/>
      <c r="C23" s="3"/>
    </row>
    <row r="24" customFormat="false" ht="15" hidden="false" customHeight="false" outlineLevel="0" collapsed="false">
      <c r="A24" s="3" t="s">
        <v>58</v>
      </c>
      <c r="B24" s="3"/>
      <c r="C24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2026-10-12T07:26:33Z</dcterms:created>
  <dc:creator>openpyxl</dc:creator>
  <dc:description/>
  <dc:language>en-US</dc:language>
  <cp:lastModifiedBy/>
  <dcterms:modified xsi:type="dcterms:W3CDTF">2026-10-12T07:26:33Z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